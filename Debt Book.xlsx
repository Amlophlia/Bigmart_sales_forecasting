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tikgupta/Downloads/Ritik Personal Folder/#Ritik's Folder/Banks and Hisaab Kitaab/"/>
    </mc:Choice>
  </mc:AlternateContent>
  <xr:revisionPtr revIDLastSave="0" documentId="13_ncr:1_{2C8D8B83-704C-5444-9323-0E6280FD567E}" xr6:coauthVersionLast="47" xr6:coauthVersionMax="47" xr10:uidLastSave="{00000000-0000-0000-0000-000000000000}"/>
  <bookViews>
    <workbookView xWindow="0" yWindow="760" windowWidth="30240" windowHeight="17520" activeTab="1" xr2:uid="{0ECC05B7-C0AA-924C-A73C-FFDECD5A8E69}"/>
  </bookViews>
  <sheets>
    <sheet name="Till Dec End 2024" sheetId="1" r:id="rId1"/>
    <sheet name="Jan 2025" sheetId="3" r:id="rId2"/>
    <sheet name="Shashank" sheetId="4" r:id="rId3"/>
    <sheet name="Rishab" sheetId="5" r:id="rId4"/>
    <sheet name="Saatvik" sheetId="6" r:id="rId5"/>
    <sheet name="Sheet2" sheetId="2" state="hidden" r:id="rId6"/>
  </sheets>
  <definedNames>
    <definedName name="_xlnm._FilterDatabase" localSheetId="1" hidden="1">'Jan 2025'!$C$3:$H$535</definedName>
    <definedName name="_xlnm._FilterDatabase" localSheetId="0" hidden="1">'Till Dec End 2024'!$A$2:$F$2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1" i="3" l="1"/>
  <c r="E477" i="3"/>
  <c r="E476" i="3"/>
  <c r="E475" i="3"/>
  <c r="E474" i="3"/>
  <c r="E300" i="3"/>
  <c r="E299" i="3"/>
  <c r="E182" i="3"/>
  <c r="E181" i="3"/>
  <c r="E184" i="3"/>
  <c r="E183" i="3"/>
  <c r="E470" i="3"/>
  <c r="E471" i="3"/>
  <c r="E102" i="3"/>
  <c r="E101" i="3"/>
  <c r="E505" i="3"/>
  <c r="E503" i="3"/>
  <c r="E502" i="3"/>
  <c r="E501" i="3"/>
  <c r="E500" i="3"/>
  <c r="E494" i="3"/>
  <c r="E493" i="3"/>
  <c r="E492" i="3"/>
  <c r="E491" i="3"/>
  <c r="E533" i="3"/>
  <c r="E532" i="3"/>
  <c r="E481" i="3"/>
  <c r="E480" i="3"/>
  <c r="E509" i="3"/>
  <c r="E508" i="3"/>
  <c r="E531" i="3"/>
  <c r="E530" i="3"/>
  <c r="E510" i="3"/>
  <c r="E521" i="3"/>
  <c r="E520" i="3"/>
  <c r="E519" i="3"/>
  <c r="E529" i="3"/>
  <c r="E528" i="3"/>
  <c r="E527" i="3"/>
  <c r="E526" i="3"/>
  <c r="E525" i="3"/>
  <c r="E524" i="3"/>
  <c r="E523" i="3"/>
  <c r="E522" i="3"/>
  <c r="E518" i="3"/>
  <c r="E517" i="3"/>
  <c r="E514" i="3"/>
  <c r="E513" i="3"/>
  <c r="E512" i="3"/>
  <c r="E511" i="3"/>
  <c r="E507" i="3"/>
  <c r="E506" i="3"/>
  <c r="E499" i="3"/>
  <c r="E498" i="3"/>
  <c r="E490" i="3"/>
  <c r="E489" i="3"/>
  <c r="E488" i="3"/>
  <c r="E485" i="3"/>
  <c r="E484" i="3"/>
  <c r="E516" i="3"/>
  <c r="E515" i="3"/>
  <c r="E497" i="3"/>
  <c r="E496" i="3"/>
  <c r="E487" i="3"/>
  <c r="E486" i="3"/>
  <c r="E483" i="3"/>
  <c r="E482" i="3"/>
  <c r="E478" i="3"/>
  <c r="E479" i="3"/>
  <c r="E473" i="3"/>
  <c r="E472" i="3"/>
  <c r="E465" i="3"/>
  <c r="E464" i="3"/>
  <c r="E469" i="3"/>
  <c r="E468" i="3"/>
  <c r="E467" i="3"/>
  <c r="E466" i="3"/>
  <c r="E462" i="3"/>
  <c r="E461" i="3"/>
  <c r="E460" i="3"/>
  <c r="E459" i="3"/>
  <c r="E458" i="3"/>
  <c r="E457" i="3"/>
  <c r="E456" i="3"/>
  <c r="E455" i="3"/>
  <c r="E454" i="3"/>
  <c r="E452" i="3"/>
  <c r="E451" i="3"/>
  <c r="E438" i="3"/>
  <c r="E437" i="3"/>
  <c r="E450" i="3"/>
  <c r="E449" i="3"/>
  <c r="E448" i="3"/>
  <c r="E447" i="3"/>
  <c r="E446" i="3"/>
  <c r="E445" i="3"/>
  <c r="E453" i="3"/>
  <c r="E419" i="3"/>
  <c r="E442" i="3"/>
  <c r="E441" i="3"/>
  <c r="E444" i="3"/>
  <c r="E443" i="3"/>
  <c r="E440" i="3"/>
  <c r="E439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1" i="3"/>
  <c r="E420" i="3"/>
  <c r="E418" i="3"/>
  <c r="E417" i="3"/>
  <c r="E416" i="3"/>
  <c r="E415" i="3"/>
  <c r="E414" i="3"/>
  <c r="E413" i="3"/>
  <c r="E408" i="3"/>
  <c r="E407" i="3"/>
  <c r="E411" i="3"/>
  <c r="E410" i="3"/>
  <c r="E406" i="3"/>
  <c r="E405" i="3"/>
  <c r="E404" i="3"/>
  <c r="E403" i="3"/>
  <c r="E402" i="3"/>
  <c r="E401" i="3"/>
  <c r="E400" i="3"/>
  <c r="E399" i="3"/>
  <c r="E398" i="3"/>
  <c r="E397" i="3"/>
  <c r="E392" i="3"/>
  <c r="E396" i="3"/>
  <c r="E395" i="3"/>
  <c r="E390" i="3"/>
  <c r="E389" i="3"/>
  <c r="E388" i="3"/>
  <c r="E387" i="3"/>
  <c r="E386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6" i="3"/>
  <c r="E357" i="3"/>
  <c r="E385" i="3"/>
  <c r="E384" i="3"/>
  <c r="E355" i="3"/>
  <c r="E354" i="3"/>
  <c r="E353" i="3"/>
  <c r="E352" i="3"/>
  <c r="E346" i="3"/>
  <c r="E345" i="3"/>
  <c r="E344" i="3"/>
  <c r="E343" i="3"/>
  <c r="E223" i="3"/>
  <c r="E341" i="3"/>
  <c r="E340" i="3"/>
  <c r="E342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3" i="3"/>
  <c r="E282" i="3"/>
  <c r="E274" i="3"/>
  <c r="E273" i="3"/>
  <c r="E276" i="3"/>
  <c r="E275" i="3"/>
  <c r="E267" i="3"/>
  <c r="E266" i="3"/>
  <c r="E265" i="3"/>
  <c r="E264" i="3"/>
  <c r="E263" i="3"/>
  <c r="E262" i="3"/>
  <c r="E261" i="3"/>
  <c r="E285" i="3"/>
  <c r="E284" i="3"/>
  <c r="E281" i="3"/>
  <c r="E280" i="3"/>
  <c r="E278" i="3"/>
  <c r="E277" i="3"/>
  <c r="E269" i="3"/>
  <c r="E268" i="3"/>
  <c r="E258" i="3"/>
  <c r="E257" i="3"/>
  <c r="E256" i="3"/>
  <c r="E255" i="3"/>
  <c r="E254" i="3"/>
  <c r="E253" i="3"/>
  <c r="E251" i="3"/>
  <c r="E250" i="3"/>
  <c r="E348" i="3"/>
  <c r="E347" i="3"/>
  <c r="E302" i="3"/>
  <c r="E301" i="3"/>
  <c r="E394" i="3"/>
  <c r="E393" i="3"/>
  <c r="E249" i="3"/>
  <c r="E248" i="3"/>
  <c r="E247" i="3"/>
  <c r="E246" i="3"/>
  <c r="E245" i="3"/>
  <c r="E244" i="3"/>
  <c r="E243" i="3"/>
  <c r="E241" i="3"/>
  <c r="E242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4" i="3"/>
  <c r="E193" i="3"/>
  <c r="E192" i="3"/>
  <c r="E191" i="3"/>
  <c r="E190" i="3"/>
  <c r="E189" i="3"/>
  <c r="E188" i="3"/>
  <c r="E186" i="3"/>
  <c r="E185" i="3"/>
  <c r="E178" i="3"/>
  <c r="E179" i="3"/>
  <c r="E177" i="3"/>
  <c r="E176" i="3"/>
  <c r="E196" i="3"/>
  <c r="E195" i="3"/>
  <c r="E151" i="3"/>
  <c r="E150" i="3"/>
  <c r="E173" i="3"/>
  <c r="E172" i="3"/>
  <c r="E171" i="3"/>
  <c r="E170" i="3"/>
  <c r="E169" i="3"/>
  <c r="E168" i="3"/>
  <c r="E167" i="3"/>
  <c r="E165" i="3"/>
  <c r="E164" i="3"/>
  <c r="E162" i="3"/>
  <c r="E161" i="3"/>
  <c r="E160" i="3"/>
  <c r="E158" i="3"/>
  <c r="E157" i="3"/>
  <c r="E156" i="3"/>
  <c r="E155" i="3"/>
  <c r="E154" i="3"/>
  <c r="E153" i="3"/>
  <c r="E152" i="3"/>
  <c r="E149" i="3"/>
  <c r="E148" i="3"/>
  <c r="E147" i="3"/>
  <c r="E143" i="3"/>
  <c r="E142" i="3"/>
  <c r="E141" i="3"/>
  <c r="E140" i="3"/>
  <c r="E146" i="3"/>
  <c r="E145" i="3"/>
  <c r="E139" i="3"/>
  <c r="E138" i="3"/>
  <c r="E137" i="3"/>
  <c r="E136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19" i="3"/>
  <c r="E118" i="3"/>
  <c r="E117" i="3"/>
  <c r="E116" i="3"/>
  <c r="E114" i="3"/>
  <c r="E113" i="3"/>
  <c r="E112" i="3"/>
  <c r="E111" i="3"/>
  <c r="E110" i="3"/>
  <c r="E109" i="3"/>
  <c r="E53" i="3"/>
  <c r="E52" i="3"/>
  <c r="E100" i="3"/>
  <c r="E106" i="3"/>
  <c r="E105" i="3"/>
  <c r="E104" i="3"/>
  <c r="E103" i="3"/>
  <c r="E73" i="3"/>
  <c r="E72" i="3"/>
  <c r="E76" i="3"/>
  <c r="E75" i="3"/>
  <c r="E98" i="3"/>
  <c r="E97" i="3"/>
  <c r="E96" i="3"/>
  <c r="E95" i="3"/>
  <c r="E91" i="3"/>
  <c r="E89" i="3"/>
  <c r="E88" i="3"/>
  <c r="E87" i="3"/>
  <c r="E86" i="3"/>
  <c r="E83" i="3"/>
  <c r="E82" i="3"/>
  <c r="E81" i="3"/>
  <c r="E80" i="3"/>
  <c r="E79" i="3"/>
  <c r="E78" i="3"/>
  <c r="E77" i="3"/>
  <c r="E74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3" i="3"/>
  <c r="E22" i="3"/>
  <c r="E25" i="3"/>
  <c r="E24" i="3"/>
  <c r="E21" i="3"/>
  <c r="E20" i="3"/>
  <c r="E19" i="3"/>
  <c r="E18" i="3"/>
  <c r="E17" i="3"/>
  <c r="E16" i="3"/>
  <c r="E15" i="3"/>
  <c r="E14" i="3"/>
  <c r="E13" i="3"/>
  <c r="E12" i="3"/>
  <c r="E11" i="3"/>
  <c r="E10" i="3"/>
  <c r="E8" i="3"/>
  <c r="E9" i="3"/>
  <c r="E7" i="3"/>
  <c r="E6" i="3"/>
  <c r="I263" i="1"/>
</calcChain>
</file>

<file path=xl/sharedStrings.xml><?xml version="1.0" encoding="utf-8"?>
<sst xmlns="http://schemas.openxmlformats.org/spreadsheetml/2006/main" count="3963" uniqueCount="654">
  <si>
    <t>Name of Borrower</t>
  </si>
  <si>
    <t>Amount</t>
  </si>
  <si>
    <t>Bank Spent Out of</t>
  </si>
  <si>
    <t>Shashank</t>
  </si>
  <si>
    <t>Date</t>
  </si>
  <si>
    <t>Jupiter</t>
  </si>
  <si>
    <t>Bhatti Chiken at Jail Street</t>
  </si>
  <si>
    <t>Swiggy One</t>
  </si>
  <si>
    <t>Momos</t>
  </si>
  <si>
    <t>HDFC</t>
  </si>
  <si>
    <t>Noodles</t>
  </si>
  <si>
    <t>Rishab</t>
  </si>
  <si>
    <t>Reason</t>
  </si>
  <si>
    <t>Coke</t>
  </si>
  <si>
    <t>Wongs</t>
  </si>
  <si>
    <t>Sachin</t>
  </si>
  <si>
    <t>Rishabh Bhardwaj</t>
  </si>
  <si>
    <t>For Noodles and Momos</t>
  </si>
  <si>
    <t>Note</t>
  </si>
  <si>
    <t>Bank Deposited In</t>
  </si>
  <si>
    <t>Name of Payer</t>
  </si>
  <si>
    <t>Status</t>
  </si>
  <si>
    <t>Paid</t>
  </si>
  <si>
    <t>Un-Paid</t>
  </si>
  <si>
    <t>Palash</t>
  </si>
  <si>
    <t>Omanwar</t>
  </si>
  <si>
    <t>Dinner</t>
  </si>
  <si>
    <t>Chowmein and Manchurian</t>
  </si>
  <si>
    <t>Aggarbatti</t>
  </si>
  <si>
    <t>Burgers</t>
  </si>
  <si>
    <t>For Burger</t>
  </si>
  <si>
    <t>For 8th Aug Dinner</t>
  </si>
  <si>
    <t>Chilli Garlic Noodles</t>
  </si>
  <si>
    <t>Chilli Potato</t>
  </si>
  <si>
    <t>For Chowmein and Manchurian on 9th</t>
  </si>
  <si>
    <t>Pratham</t>
  </si>
  <si>
    <t>Bhardwaj</t>
  </si>
  <si>
    <t>Mishra</t>
  </si>
  <si>
    <t>Pizza</t>
  </si>
  <si>
    <t>For Swiggy One</t>
  </si>
  <si>
    <t>For Noodles on 2nd Aug</t>
  </si>
  <si>
    <t>For Momos on 2nd Aug</t>
  </si>
  <si>
    <t>For Bhatti Chicken at Jail Stret on 29th July</t>
  </si>
  <si>
    <t>For Burgers on 10th Aug</t>
  </si>
  <si>
    <t>For Chilli Garlic noodles and Chilli Potato on 13th Aug</t>
  </si>
  <si>
    <t>Onion Pizza</t>
  </si>
  <si>
    <t>For Pizza on 3rd Aug</t>
  </si>
  <si>
    <t>For Pizza on 14th Aug</t>
  </si>
  <si>
    <t>Lunch on 22nd Aug</t>
  </si>
  <si>
    <t>Maggie, Green Chillis, Garlic and Cooking Oil</t>
  </si>
  <si>
    <t>Eggs</t>
  </si>
  <si>
    <t>Movie Tickets</t>
  </si>
  <si>
    <t>Sprite</t>
  </si>
  <si>
    <t>For Wongs and Coke</t>
  </si>
  <si>
    <t>Giri Momos Dinner</t>
  </si>
  <si>
    <t>Asked</t>
  </si>
  <si>
    <t>Partially Paid</t>
  </si>
  <si>
    <t>For Maggie, Green Chillis, Garlic and Cooking Oil</t>
  </si>
  <si>
    <t>For Movie Tickets</t>
  </si>
  <si>
    <t>For Sprite</t>
  </si>
  <si>
    <t>For Lunch on 22nd Aug</t>
  </si>
  <si>
    <t>For Aggarbatti</t>
  </si>
  <si>
    <t>For Giri Momos Dinner</t>
  </si>
  <si>
    <t>Mayank</t>
  </si>
  <si>
    <t>Swiggy Money</t>
  </si>
  <si>
    <t>Chowman</t>
  </si>
  <si>
    <t>Madras Café</t>
  </si>
  <si>
    <t>Bugers</t>
  </si>
  <si>
    <t>Maccain</t>
  </si>
  <si>
    <t>Biryani</t>
  </si>
  <si>
    <t>Chole Bhature</t>
  </si>
  <si>
    <t>For Chole Bhature on 20th Sep</t>
  </si>
  <si>
    <t>For Biryani on 19th Sep</t>
  </si>
  <si>
    <t>For Maccain on 13th Sep</t>
  </si>
  <si>
    <t>For Madras Café</t>
  </si>
  <si>
    <t>Devansh</t>
  </si>
  <si>
    <t>Gurdas Lunch</t>
  </si>
  <si>
    <t xml:space="preserve">Gurdas Lunch </t>
  </si>
  <si>
    <t>Rajma Rice</t>
  </si>
  <si>
    <t>Chinese Wok</t>
  </si>
  <si>
    <t>For Noodle House on 13th Aug</t>
  </si>
  <si>
    <t>For Chowman on 1st Sep</t>
  </si>
  <si>
    <t>Madras Café on 12th Sep</t>
  </si>
  <si>
    <t>Gurdas Lunch on 21st Sep</t>
  </si>
  <si>
    <t>Groceries on 21st Aug</t>
  </si>
  <si>
    <t>Eggs on 21st Aug</t>
  </si>
  <si>
    <t>Movie Tickets on 21st Aug</t>
  </si>
  <si>
    <t>Giri Momos Dinner on 28th Aug</t>
  </si>
  <si>
    <t>Chilli Garlic Noodles on 29th Aug</t>
  </si>
  <si>
    <t>Swiggy Money on 31st Aug</t>
  </si>
  <si>
    <t>Chowman on 1st Sep</t>
  </si>
  <si>
    <t>Sprite on 21st Aug</t>
  </si>
  <si>
    <t>Kebab and Eggs</t>
  </si>
  <si>
    <t>Dinner on 9th Oct</t>
  </si>
  <si>
    <t>Chips on 11th Oct</t>
  </si>
  <si>
    <t>Chips on 10th Oct</t>
  </si>
  <si>
    <t>Noodles and Chilli Potato on 16th Oct</t>
  </si>
  <si>
    <t>Noodles and Rice and Coke on 12th Oct</t>
  </si>
  <si>
    <t>Laxmi Gurdas Lunch on 17th Oct</t>
  </si>
  <si>
    <t>Dinner on 17th Oct</t>
  </si>
  <si>
    <t>Dinner on 18th Oct</t>
  </si>
  <si>
    <t>Basket</t>
  </si>
  <si>
    <t>New Punjabi Rasoi Dinner</t>
  </si>
  <si>
    <t>Box 8 Dinner</t>
  </si>
  <si>
    <t>Paytm Wallet</t>
  </si>
  <si>
    <t>Amritsari Kulcha and Coke</t>
  </si>
  <si>
    <t>Rajeev</t>
  </si>
  <si>
    <t>Cantino</t>
  </si>
  <si>
    <t>Coke and Chinese Smosa</t>
  </si>
  <si>
    <t>Boom Sandwich</t>
  </si>
  <si>
    <t>Dinner on 20th Nov</t>
  </si>
  <si>
    <t>Rajma Rice on 20th Nov</t>
  </si>
  <si>
    <t>Pasta on 21st Nov</t>
  </si>
  <si>
    <t>Chocolate</t>
  </si>
  <si>
    <t>Chips</t>
  </si>
  <si>
    <t>Chinese and Bakers</t>
  </si>
  <si>
    <t>Groceries</t>
  </si>
  <si>
    <t>Spotify</t>
  </si>
  <si>
    <t>Printout and Rice</t>
  </si>
  <si>
    <t>Coffee and Dinner</t>
  </si>
  <si>
    <t>Pasta and Fries</t>
  </si>
  <si>
    <t>Apni Rasoi Dinner</t>
  </si>
  <si>
    <t>Apni Rasoi Dinner and Coke</t>
  </si>
  <si>
    <t>For Rishabh Yadav's Dinner from Apni Rasoi</t>
  </si>
  <si>
    <t>Party and Spotify</t>
  </si>
  <si>
    <t xml:space="preserve">Apni Rasoi Dinner </t>
  </si>
  <si>
    <t>Palash paid all his debt from 20th nov till 7th dec</t>
  </si>
  <si>
    <t>Siddharth Kapoor</t>
  </si>
  <si>
    <t>Shashank paid all his debt from 20th nov till 7th dec</t>
  </si>
  <si>
    <t>Rishab paid all his debt from 20th nov till 7th dec</t>
  </si>
  <si>
    <t>Healthy Bite Studio Pasta and Burgers</t>
  </si>
  <si>
    <t>(Gaining 30 Rupees)</t>
  </si>
  <si>
    <t>Daaru, Chips, Burgers and Cranberry</t>
  </si>
  <si>
    <t>Fries, Mushroom and Chowmein</t>
  </si>
  <si>
    <t>Punjabi Rasoi Dinner</t>
  </si>
  <si>
    <t>(Gaining 5 Rupees)</t>
  </si>
  <si>
    <t>(Gaining 6.25)</t>
  </si>
  <si>
    <t>Samose and Chai</t>
  </si>
  <si>
    <t>Spotify for Dec and Jan</t>
  </si>
  <si>
    <t>Palash paid all his debt from 8th Dec till 9th Jan</t>
  </si>
  <si>
    <t>Palash paid all his debt from 11th Dec till 9th Jan</t>
  </si>
  <si>
    <t>KFC and Coke</t>
  </si>
  <si>
    <t>Laxmi Gurdas Dinner</t>
  </si>
  <si>
    <t>Shopping</t>
  </si>
  <si>
    <t>Ice-Cream</t>
  </si>
  <si>
    <t>FOD</t>
  </si>
  <si>
    <t>Palash paid all his debt from 10th Jan till 23rd Jan</t>
  </si>
  <si>
    <t>Rajeev paid all his debt from 18th Jan till 23rd Jan</t>
  </si>
  <si>
    <t>Chandni chowk visit on 17th Jan</t>
  </si>
  <si>
    <t>Chole Bhature and CC</t>
  </si>
  <si>
    <t>Chlli Mushroom</t>
  </si>
  <si>
    <t>Bhardwaj adjusted in palash's didi gift</t>
  </si>
  <si>
    <t>Omlette</t>
  </si>
  <si>
    <t>Leftover</t>
  </si>
  <si>
    <t xml:space="preserve">Chole Bhature </t>
  </si>
  <si>
    <t>Parathe and Chai</t>
  </si>
  <si>
    <t>Parathe and Chai and Patties</t>
  </si>
  <si>
    <t>Baked Pasta</t>
  </si>
  <si>
    <t>(Gaining 26.64 from this)</t>
  </si>
  <si>
    <t>(Gaining 61.99 from this)</t>
  </si>
  <si>
    <t>For 24th Jan, 25th Jan and 7th Feb Debt</t>
  </si>
  <si>
    <t>Butter chicken and 4xRoti</t>
  </si>
  <si>
    <t>Butter Chicken and 1xRoti</t>
  </si>
  <si>
    <t>Butter Chicken and 2xNaan</t>
  </si>
  <si>
    <t>For his birthday party</t>
  </si>
  <si>
    <t>Banana Shake</t>
  </si>
  <si>
    <t>Imarti and Gulab Jamun</t>
  </si>
  <si>
    <t>Rasmalai</t>
  </si>
  <si>
    <t>Gulab Jamun</t>
  </si>
  <si>
    <t>Prinouts</t>
  </si>
  <si>
    <t>Mic Mac</t>
  </si>
  <si>
    <t>Bouquet</t>
  </si>
  <si>
    <t>CP Outing</t>
  </si>
  <si>
    <t>Vada Pav and Chicken Dinner</t>
  </si>
  <si>
    <t>Breakfast</t>
  </si>
  <si>
    <t>Cold Coffee and Water Bottle</t>
  </si>
  <si>
    <t>Pav Bhaji</t>
  </si>
  <si>
    <t>Honey Chilli Potato and Noodles</t>
  </si>
  <si>
    <t>Chole Bhature and Lassi</t>
  </si>
  <si>
    <t>Fries and Burger</t>
  </si>
  <si>
    <t>Butter Chicken and Naan</t>
  </si>
  <si>
    <t>Spotify for Jan, Feb and March</t>
  </si>
  <si>
    <t>Spotify for Dec, Jan, Feb and March</t>
  </si>
  <si>
    <t>Spotify for Feb and March</t>
  </si>
  <si>
    <t>Spotify for Sep to March</t>
  </si>
  <si>
    <t xml:space="preserve">Shashank </t>
  </si>
  <si>
    <t>TACO</t>
  </si>
  <si>
    <t>Snacks</t>
  </si>
  <si>
    <t>Dinner from Apni Rasoi</t>
  </si>
  <si>
    <t>Manchurian and Fried Rice</t>
  </si>
  <si>
    <t>Dinner from FOD</t>
  </si>
  <si>
    <t>RLM</t>
  </si>
  <si>
    <t>KFC</t>
  </si>
  <si>
    <t>Ganna Juice</t>
  </si>
  <si>
    <t>Naadi Shastra</t>
  </si>
  <si>
    <t>Maaf Kar diye</t>
  </si>
  <si>
    <t>Shake</t>
  </si>
  <si>
    <t>Noodles and Manchurian</t>
  </si>
  <si>
    <t>Chinese Wok and Water</t>
  </si>
  <si>
    <t>Printouts</t>
  </si>
  <si>
    <t>Punjabi Angithi</t>
  </si>
  <si>
    <t>Ganne ka juice</t>
  </si>
  <si>
    <t>Gatorade</t>
  </si>
  <si>
    <t>Zomato Dinner</t>
  </si>
  <si>
    <t>Hitesh Meds</t>
  </si>
  <si>
    <t>Cold Coffee</t>
  </si>
  <si>
    <t>Hitesh Car Fuel</t>
  </si>
  <si>
    <t>Total Spent</t>
  </si>
  <si>
    <t>Mic Mac Late Night Party to Juniors</t>
  </si>
  <si>
    <t>Ice-Cream To Juniors and 3rd yrs</t>
  </si>
  <si>
    <t>Party at Garvit's Place</t>
  </si>
  <si>
    <t>Coke for Party</t>
  </si>
  <si>
    <t>Mic Mac to 1st yrs</t>
  </si>
  <si>
    <t>Water Bottles for Judges</t>
  </si>
  <si>
    <t>Porter 1(7 Cartons)</t>
  </si>
  <si>
    <t>Porter 2(T-shirts 50)</t>
  </si>
  <si>
    <t>Porter 3(T-Shirts 150)</t>
  </si>
  <si>
    <t>Petrol Sid Bike</t>
  </si>
  <si>
    <t>Lassi</t>
  </si>
  <si>
    <t>Niyo</t>
  </si>
  <si>
    <t>Spotify for April</t>
  </si>
  <si>
    <t>Me</t>
  </si>
  <si>
    <t>Fries</t>
  </si>
  <si>
    <t>Maaza + Piknik</t>
  </si>
  <si>
    <t>Chips and Coke</t>
  </si>
  <si>
    <t>Mcdonals</t>
  </si>
  <si>
    <t>Keventers</t>
  </si>
  <si>
    <t>Cab</t>
  </si>
  <si>
    <t>Chaayos</t>
  </si>
  <si>
    <t>DCB Bank Kharcha and Repayment</t>
  </si>
  <si>
    <t>Item Name</t>
  </si>
  <si>
    <t>To Whom</t>
  </si>
  <si>
    <t>How will Repayment be Done</t>
  </si>
  <si>
    <t>Reasearch Paper</t>
  </si>
  <si>
    <t>HDFC Bank Account</t>
  </si>
  <si>
    <t>Vihaan Money</t>
  </si>
  <si>
    <t>Pool Party Money</t>
  </si>
  <si>
    <t>Jhumkas</t>
  </si>
  <si>
    <t>Amazon</t>
  </si>
  <si>
    <t>Daaru</t>
  </si>
  <si>
    <t>Daaru Vendor</t>
  </si>
  <si>
    <t>Dhairya's Debt</t>
  </si>
  <si>
    <t>Dhairya</t>
  </si>
  <si>
    <t>Debt of 1000</t>
  </si>
  <si>
    <t>(Left with 1098 Rupees of This Money)</t>
  </si>
  <si>
    <t>Raj Mandir Groceries</t>
  </si>
  <si>
    <t>Rajeev Brother</t>
  </si>
  <si>
    <t>Iphone Refund</t>
  </si>
  <si>
    <t>Rishab's 15500(Shashank has given 2500 out of which)</t>
  </si>
  <si>
    <t>Amazon Ordrs</t>
  </si>
  <si>
    <t>I will have to earn</t>
  </si>
  <si>
    <t>(650 came back for lock)</t>
  </si>
  <si>
    <t>Burgrill</t>
  </si>
  <si>
    <t>Spotify for May</t>
  </si>
  <si>
    <t>Spotify for June and July</t>
  </si>
  <si>
    <t>Amazon Prime</t>
  </si>
  <si>
    <t>Pintu Advance</t>
  </si>
  <si>
    <t>Bolly Bites Lunch</t>
  </si>
  <si>
    <t>Pizza Dinner</t>
  </si>
  <si>
    <t>Aloo Paratha</t>
  </si>
  <si>
    <t>Butter Chicken Rice Bowl</t>
  </si>
  <si>
    <t>Mojito</t>
  </si>
  <si>
    <t>Baozi Dinner</t>
  </si>
  <si>
    <t>Coke and Chocolate</t>
  </si>
  <si>
    <t>Ask Shashank for a transaction of 914 and 600 rupees</t>
  </si>
  <si>
    <t>If yes then you are liable for 157 rupees to him</t>
  </si>
  <si>
    <t>Amritsari Kulcha</t>
  </si>
  <si>
    <t>Cold Coffee Bolly Bites</t>
  </si>
  <si>
    <t>Rapido to G3s</t>
  </si>
  <si>
    <t>Crispy Mushroom Rice Bowl</t>
  </si>
  <si>
    <t>Zepto Snacks for JPMC Study</t>
  </si>
  <si>
    <t>Sweets for JPMC Ghar</t>
  </si>
  <si>
    <t>Wong's Kitchen Scam Failure</t>
  </si>
  <si>
    <t>Parathe</t>
  </si>
  <si>
    <t>Netavya</t>
  </si>
  <si>
    <t>Shake and Fries</t>
  </si>
  <si>
    <t>Bings Café Burger</t>
  </si>
  <si>
    <t>KFC, Rapido and Coffee</t>
  </si>
  <si>
    <t>Dinner when BCN Result announced</t>
  </si>
  <si>
    <t>New Shop</t>
  </si>
  <si>
    <t>Snacks and Coke</t>
  </si>
  <si>
    <t>Amrik Sukhdev</t>
  </si>
  <si>
    <t>Bhairo Baba Eatables</t>
  </si>
  <si>
    <t>Nehru Planeterium</t>
  </si>
  <si>
    <t>Burger Singh</t>
  </si>
  <si>
    <t>Dominos</t>
  </si>
  <si>
    <t>Wong's Kitchen Lunch</t>
  </si>
  <si>
    <t>Hot Chick's Dinner</t>
  </si>
  <si>
    <t>Netavya Cake</t>
  </si>
  <si>
    <t>IEEE</t>
  </si>
  <si>
    <t>KFC Bucket*1 and Strips*1 at PG(Areeb, Ritik, Shashank, Vaibhav, Jasmeen etc..)</t>
  </si>
  <si>
    <t>Stree 2 Movie Tickets</t>
  </si>
  <si>
    <t>Chilli Chicken Bowl</t>
  </si>
  <si>
    <t>Paneer Kung Pao Bowl</t>
  </si>
  <si>
    <t>Noodles , Momos and Chilli Potato Dinner</t>
  </si>
  <si>
    <t>Gaining 800 out of this</t>
  </si>
  <si>
    <t>Petrol for Scooties</t>
  </si>
  <si>
    <t>Dominos Pizza at Orientation</t>
  </si>
  <si>
    <t>Bolly Bites Brunch</t>
  </si>
  <si>
    <t>Mobile Phone Cover</t>
  </si>
  <si>
    <t>Spotify for August</t>
  </si>
  <si>
    <t>IEEE Daaru and other groceries for daaru party</t>
  </si>
  <si>
    <t>Gaining 500 out of this</t>
  </si>
  <si>
    <t>Variation Momos</t>
  </si>
  <si>
    <t>Rent Remainder for PG</t>
  </si>
  <si>
    <t>Gol Gappe and Bhale Papdi</t>
  </si>
  <si>
    <t>Gol Gappe</t>
  </si>
  <si>
    <t>Rapido to Rohini 18-19</t>
  </si>
  <si>
    <t>Ghoomar</t>
  </si>
  <si>
    <t>Petrol for Scooty</t>
  </si>
  <si>
    <t>Paid for 3rd Sep</t>
  </si>
  <si>
    <t>Tapri</t>
  </si>
  <si>
    <t>Gaining 900 out of this</t>
  </si>
  <si>
    <t>Laptop Repair</t>
  </si>
  <si>
    <t>Mother Dairy Snack Breakfast V Kamal Class</t>
  </si>
  <si>
    <t>Annapurna Basement Breakfast</t>
  </si>
  <si>
    <t>Annapurna Basement Breakfast Pack</t>
  </si>
  <si>
    <t>Shaketails Fries and Hazelnut Cold Coffee</t>
  </si>
  <si>
    <t>Kulfi</t>
  </si>
  <si>
    <t>Standard Rabri Faluda and Shakes</t>
  </si>
  <si>
    <t>Spotify for September</t>
  </si>
  <si>
    <t>Breakfast from Bollybites</t>
  </si>
  <si>
    <t>Chinese and Bakers Dinner</t>
  </si>
  <si>
    <t>Chilli Mushroom</t>
  </si>
  <si>
    <t>Tumbaad Tickets</t>
  </si>
  <si>
    <t>Bansi Wala Chole Bhature and Appy</t>
  </si>
  <si>
    <t>Bhardwaj Meesho Fit + Specs + Belt</t>
  </si>
  <si>
    <t>Bhardwaj Cake</t>
  </si>
  <si>
    <t>Nihar</t>
  </si>
  <si>
    <t>Gaining 208 out of this</t>
  </si>
  <si>
    <t>Crypto Door + Waffles + Dining Booking from Zomato</t>
  </si>
  <si>
    <t>Uber from Unity one to PG</t>
  </si>
  <si>
    <t>Gaining 301.73 from this</t>
  </si>
  <si>
    <t>Bollybites Breakfast</t>
  </si>
  <si>
    <t>Dinner at Dillicious and Chips for Studying</t>
  </si>
  <si>
    <t>Bollybites Chai and Pav Bhaji</t>
  </si>
  <si>
    <t>Veg Whopper</t>
  </si>
  <si>
    <t>Veg Whopper before Midsem</t>
  </si>
  <si>
    <t>Tadka Idli</t>
  </si>
  <si>
    <t>The New Shop</t>
  </si>
  <si>
    <t>KFC + Daaru + Sanwhich</t>
  </si>
  <si>
    <t>Chaat Papdi</t>
  </si>
  <si>
    <t>Venky Dosa</t>
  </si>
  <si>
    <t>BBQ Chicken Pizza</t>
  </si>
  <si>
    <t>Chocolate Shake</t>
  </si>
  <si>
    <t>Pav Bhaji + Chicken Vada Pav</t>
  </si>
  <si>
    <t>Veg Manchurian Gravy + Chilli Garlic Noodles + Coke</t>
  </si>
  <si>
    <t>Double Egg Roll</t>
  </si>
  <si>
    <t>Bhardwaj Gave for Amazon</t>
  </si>
  <si>
    <t>Gaming</t>
  </si>
  <si>
    <t>Dandriyal Meesho Outfit</t>
  </si>
  <si>
    <t>Bedsheet to PG Aunty</t>
  </si>
  <si>
    <t>Bathroom Accessories</t>
  </si>
  <si>
    <t>Samose at Tilak Nagar</t>
  </si>
  <si>
    <t>Coffee</t>
  </si>
  <si>
    <t>Shudh Navratri Thali</t>
  </si>
  <si>
    <t>Raj Mandir + Tummy Section + Coke</t>
  </si>
  <si>
    <t>Cold Coffee + Assignment</t>
  </si>
  <si>
    <t>Peri Peri Fires &amp; Sandwich</t>
  </si>
  <si>
    <t>Lunch</t>
  </si>
  <si>
    <t>Garhwal Bakery</t>
  </si>
  <si>
    <t>Patty + Garlic Naan</t>
  </si>
  <si>
    <t>Spezia from Ashna Money I Sent 800 Spezia Spent - 1850</t>
  </si>
  <si>
    <t>Manchurian Bowl</t>
  </si>
  <si>
    <t>Wongs Dinner</t>
  </si>
  <si>
    <t>Cabs</t>
  </si>
  <si>
    <t>Gaining 147 Out of this</t>
  </si>
  <si>
    <t>Rapido from PG to Unity One and Back</t>
  </si>
  <si>
    <t>2*Burger + Fries</t>
  </si>
  <si>
    <t>Baozi</t>
  </si>
  <si>
    <t>Baozi with everyone</t>
  </si>
  <si>
    <t>Frullato</t>
  </si>
  <si>
    <t>QD's</t>
  </si>
  <si>
    <t>Intern Diary</t>
  </si>
  <si>
    <t>Tapri The Chai Bar</t>
  </si>
  <si>
    <t>Special Peppy Chicken Schwarma + Masala Paneer Tikka Wrap</t>
  </si>
  <si>
    <t>Good Night + Chips</t>
  </si>
  <si>
    <t>Maggie + Chai</t>
  </si>
  <si>
    <t>Vada Pav + Chai</t>
  </si>
  <si>
    <t>Ovenstory Pizza</t>
  </si>
  <si>
    <t>OM Shanker Transfer</t>
  </si>
  <si>
    <t>IEEE Prize Money</t>
  </si>
  <si>
    <t>Baozi + Coke</t>
  </si>
  <si>
    <t>Castle Barbeque</t>
  </si>
  <si>
    <t>Gaining 537 Out of this</t>
  </si>
  <si>
    <t>JBG</t>
  </si>
  <si>
    <t>Go Daddy</t>
  </si>
  <si>
    <t>Kal ho na Ho Movie Tickets</t>
  </si>
  <si>
    <t>Tapri The Chai Bar + The New Shop</t>
  </si>
  <si>
    <t>Dhokla</t>
  </si>
  <si>
    <t>Tapri + New Shop</t>
  </si>
  <si>
    <t>Mogu Mogu + Baygon + Lays</t>
  </si>
  <si>
    <t>Rapido back PG</t>
  </si>
  <si>
    <t>Gaining 300 out of this</t>
  </si>
  <si>
    <t>Dandriyal ka kaam tamam day Party ☠️☠️☠️☠️☠️ (Ordered 5 chinese wok bowls, 10 Leg Pc Bucket &amp; Smoky Chicken Leg Pc * 3)</t>
  </si>
  <si>
    <t>Karma Dinner Fries + Pizza + Swiggy Renewal</t>
  </si>
  <si>
    <t>Tilak Nagar Samose</t>
  </si>
  <si>
    <t>Chicken Soup</t>
  </si>
  <si>
    <t>Hariram</t>
  </si>
  <si>
    <t>CIDM Print Outs</t>
  </si>
  <si>
    <t>Love Puri Wala</t>
  </si>
  <si>
    <t>Bhardwaj Placement Cake</t>
  </si>
  <si>
    <t>Choco Pudding</t>
  </si>
  <si>
    <t>Bhardwaj Garhwal Party</t>
  </si>
  <si>
    <t>Lunch from Magicpin</t>
  </si>
  <si>
    <t>Chicken Chilli Garlic Noodles</t>
  </si>
  <si>
    <t>Pizza Hut</t>
  </si>
  <si>
    <t>Paid to Me</t>
  </si>
  <si>
    <t>Pintu Electricity</t>
  </si>
  <si>
    <t>Recharge</t>
  </si>
  <si>
    <t>Xero Degrees</t>
  </si>
  <si>
    <t>Gaining 32 Out of this</t>
  </si>
  <si>
    <t>Hong Kong Groceries</t>
  </si>
  <si>
    <t>257.64 Gaining out of this</t>
  </si>
  <si>
    <t>Spotify for December</t>
  </si>
  <si>
    <t>Spotify for October</t>
  </si>
  <si>
    <t>Spotify for November</t>
  </si>
  <si>
    <t>Rishabh Yadav</t>
  </si>
  <si>
    <t>Gaining 44 out of this</t>
  </si>
  <si>
    <t>Loosing 27 out of this</t>
  </si>
  <si>
    <t>Gaining 9 out of this</t>
  </si>
  <si>
    <t>Riyanshi</t>
  </si>
  <si>
    <t>For G3</t>
  </si>
  <si>
    <t>Khan Market + Carnatic Café</t>
  </si>
  <si>
    <t>Gaining 21 out of this</t>
  </si>
  <si>
    <t>Spotify for 2025</t>
  </si>
  <si>
    <t>Gaining 4 out of this</t>
  </si>
  <si>
    <t>Shashank Gifts</t>
  </si>
  <si>
    <t>Areeb Dinner</t>
  </si>
  <si>
    <t xml:space="preserve">  </t>
  </si>
  <si>
    <t>Person</t>
  </si>
  <si>
    <t>Description of the expense</t>
  </si>
  <si>
    <t>Remarks</t>
  </si>
  <si>
    <t>Outing with Devansh and Riyanshi</t>
  </si>
  <si>
    <t>Expense</t>
  </si>
  <si>
    <t>Not Paid</t>
  </si>
  <si>
    <t>Devansh paid in cash I have to deposit that cash</t>
  </si>
  <si>
    <t>Cab from CSMT to EPFO</t>
  </si>
  <si>
    <t>Cab from EPFO to JPMC</t>
  </si>
  <si>
    <t>Auto</t>
  </si>
  <si>
    <t>Breakfast at EPFO</t>
  </si>
  <si>
    <t>Coke and Fanta</t>
  </si>
  <si>
    <t>Zepto - AA Batteries, Ocean, Vega Comb, Banana, Strawberry, Grapes, Toothbrush, Soap</t>
  </si>
  <si>
    <t>Punjab Grill Lunch</t>
  </si>
  <si>
    <t>Thobrama R-City</t>
  </si>
  <si>
    <t>Auto to Shiv Om</t>
  </si>
  <si>
    <t>Mahim beach cab</t>
  </si>
  <si>
    <t>Dominos and Coke</t>
  </si>
  <si>
    <t>Body Wash</t>
  </si>
  <si>
    <t>Cab to Powai Plaza</t>
  </si>
  <si>
    <t>Rolls at Powai Plaza</t>
  </si>
  <si>
    <t>Cab to Harshvardhan</t>
  </si>
  <si>
    <t>Cab to Harshvardhan and Coke and Water</t>
  </si>
  <si>
    <t>Cab to Juhu</t>
  </si>
  <si>
    <t>Gola at Juhu</t>
  </si>
  <si>
    <t>Zepto : Water and Chips</t>
  </si>
  <si>
    <t>Cab to Siddhi Vinayak</t>
  </si>
  <si>
    <t>Modak at Siddhi Vinayak</t>
  </si>
  <si>
    <t>Lunch near Siddhi Vinayak</t>
  </si>
  <si>
    <t>McD</t>
  </si>
  <si>
    <t>Blinkit at EPFO</t>
  </si>
  <si>
    <t>Lunch from LunchBox</t>
  </si>
  <si>
    <t>XL Cab to Harshvardhan</t>
  </si>
  <si>
    <t>Burger King Dinner</t>
  </si>
  <si>
    <t>I had Freshmenu</t>
  </si>
  <si>
    <t>Blinkit: Good Knight, Matchbox, Dettol Handwashes, AAA Batteries</t>
  </si>
  <si>
    <t>Zepto: Sugar, Ice-Cream, Water, Chips, Milk, Thumbs Up, Banana, Oreo</t>
  </si>
  <si>
    <t>Auto back to Harshvardhan</t>
  </si>
  <si>
    <t>Cab to LVL and Auto back to harshvardhan</t>
  </si>
  <si>
    <t>Vendiman and Lunch</t>
  </si>
  <si>
    <t>Wifi</t>
  </si>
  <si>
    <t>Auto and Drinks at Prima Bay</t>
  </si>
  <si>
    <t>Evening snacks Prima Bay</t>
  </si>
  <si>
    <t>Banana and Cucumber from Market</t>
  </si>
  <si>
    <t>Ungli Chaat Dinner</t>
  </si>
  <si>
    <t>Lunch + Vendiman + Snacks</t>
  </si>
  <si>
    <t>Rishikesh Groceries</t>
  </si>
  <si>
    <t>Zepto: Broom, Paneer, Milk, Water, bread, boondi, curd, ketchup</t>
  </si>
  <si>
    <t>Furlenco</t>
  </si>
  <si>
    <t>Dinner from Gopala</t>
  </si>
  <si>
    <t>Blinkit: Oreo, Upma, Bourbon, Milk, Jam</t>
  </si>
  <si>
    <t>Taco Bell</t>
  </si>
  <si>
    <t>LVL Dinner</t>
  </si>
  <si>
    <t>Instamart Groceries</t>
  </si>
  <si>
    <t>Pizza Express</t>
  </si>
  <si>
    <t>Vet Please if you find a transaction of the same place, same date, delete this transaction and inform</t>
  </si>
  <si>
    <t>Iron</t>
  </si>
  <si>
    <t>Zepto: Custard and Jelly Powder, Floor Cleaner, Tea, Dahi, Rice, Milk, Yogurt, Bread</t>
  </si>
  <si>
    <t>Chai + Satkar Kitchen Dinner + Coke</t>
  </si>
  <si>
    <t>Ungli Chaat Lunch</t>
  </si>
  <si>
    <t>Instamart Groceries: Vanish, Ice-Cream</t>
  </si>
  <si>
    <t>Santosham Dinner</t>
  </si>
  <si>
    <t>Zepto: Coke and Sprite</t>
  </si>
  <si>
    <t>Aayush</t>
  </si>
  <si>
    <t>Ovenstory Pizzas Dinner</t>
  </si>
  <si>
    <t>Poha + Thepla Breakfast</t>
  </si>
  <si>
    <t>Zepto: Gloves, Milk*3, Besan, Maida, Suji, Corn Flour, Bhujiya</t>
  </si>
  <si>
    <t>Satkar Dinner + Coke</t>
  </si>
  <si>
    <t>Vegetables and Bananas</t>
  </si>
  <si>
    <t>Snabbit</t>
  </si>
  <si>
    <t>Lunch at Prima Bay and Coke</t>
  </si>
  <si>
    <t>Zepto: Milk and bread</t>
  </si>
  <si>
    <t>Electricity Bill</t>
  </si>
  <si>
    <t>Blinkit: Magic Masala, Pancake Mix, Cheetoz*3, Lays*2, Onion, Toilet Brush, Moong Dal, Maggie, Toilet Cleaner, Comfort, Surf Excel Matic, Curd, Cucumber, Britannia Cake</t>
  </si>
  <si>
    <t>Blinkit: Banana*2, Bread, Dahi</t>
  </si>
  <si>
    <t>Zepto: Thumbs Up, Sprite, Banta</t>
  </si>
  <si>
    <t>Suraj Lama</t>
  </si>
  <si>
    <t>Samosa Pav</t>
  </si>
  <si>
    <t>Vishal's friend for Suraj Lama</t>
  </si>
  <si>
    <t>Zepto: Milk*2, Sprite, Thumbs Up, Rock Salt, Maggie</t>
  </si>
  <si>
    <t>Gopala Dinner</t>
  </si>
  <si>
    <t>Lunch + Tuck Shop + Snacks at Prima Bay</t>
  </si>
  <si>
    <t>VadaPav + Banana</t>
  </si>
  <si>
    <t>Gurukripa Dinner</t>
  </si>
  <si>
    <t>VadaPav</t>
  </si>
  <si>
    <t>Mohit</t>
  </si>
  <si>
    <t>Yacht</t>
  </si>
  <si>
    <t>Cab to Yacht</t>
  </si>
  <si>
    <t>Coke and Dinner</t>
  </si>
  <si>
    <t>Zepto: Chips, Milk</t>
  </si>
  <si>
    <t>Blinkit: Flowers, Milk, Dhatura, Bel, Bananas for Shivratri</t>
  </si>
  <si>
    <t>Gas Bill Payment</t>
  </si>
  <si>
    <t>Feb Furlenco</t>
  </si>
  <si>
    <t>Mar Furlenco</t>
  </si>
  <si>
    <t>Apr Furlenco</t>
  </si>
  <si>
    <t>May Furlenco</t>
  </si>
  <si>
    <t>June Furlenco</t>
  </si>
  <si>
    <t>Breakfast prima bay</t>
  </si>
  <si>
    <t>Instamart: Chocolates for Shashank's event</t>
  </si>
  <si>
    <t>Coke Prima Bay</t>
  </si>
  <si>
    <t>Minutes: Chips*15, Thumbs up*2, appy, juice, black salt, vegetables</t>
  </si>
  <si>
    <t>Minutes: Milton Bottles*4, Mccain*2, cheese*2, apples, Aloo paratha packet, papad, more vegetables</t>
  </si>
  <si>
    <t>Coke + Frankie</t>
  </si>
  <si>
    <t>Gola at Juhu and Auto back to saki vihar rd</t>
  </si>
  <si>
    <t>Cab to Airport</t>
  </si>
  <si>
    <t>Coke and Snacks</t>
  </si>
  <si>
    <t xml:space="preserve">Auto to prima bay </t>
  </si>
  <si>
    <t>Lunch at Prima Bay</t>
  </si>
  <si>
    <t>Blinkit: Coke and Milk</t>
  </si>
  <si>
    <t>Ovenstory Pizzas</t>
  </si>
  <si>
    <t>KFC, Ultimate Savings chicken bucket and burgers*3</t>
  </si>
  <si>
    <t>Saatvik</t>
  </si>
  <si>
    <t>Pizzas from Ovenstory 4*Medium</t>
  </si>
  <si>
    <t>Old monk and verve</t>
  </si>
  <si>
    <t>Blinkit: Cranberry Juice, Cokes, Lemoneez</t>
  </si>
  <si>
    <t>Shashn</t>
  </si>
  <si>
    <t>Sliyce Pizza*2 Large</t>
  </si>
  <si>
    <t>NH1 Bowl*4</t>
  </si>
  <si>
    <t>Zepto: Coke, popcorn, chips*6, pineapple, green grapes and black, diet cokes, banana</t>
  </si>
  <si>
    <t>Dabba Garam*4 Dal Makhni Meals</t>
  </si>
  <si>
    <t xml:space="preserve">Satkar Dinner </t>
  </si>
  <si>
    <t>Coolberg*4 for night walk</t>
  </si>
  <si>
    <t>Cab back home from hiranandani</t>
  </si>
  <si>
    <t>Madras Talkies Lunch, dosa and idli</t>
  </si>
  <si>
    <t>Gave to me</t>
  </si>
  <si>
    <t>Wifi Bill for March remainder and April</t>
  </si>
  <si>
    <t>Aneesh</t>
  </si>
  <si>
    <t>Kanav</t>
  </si>
  <si>
    <t>Raman</t>
  </si>
  <si>
    <t>IBC and Cab</t>
  </si>
  <si>
    <t>Vadapav and chai</t>
  </si>
  <si>
    <t>Auto Rcity to harshvardhan</t>
  </si>
  <si>
    <t>NH1 Bowl*2</t>
  </si>
  <si>
    <t>Zepto: Paper boat*2, Coke *2, Satkar Dinner: Mix veg and all</t>
  </si>
  <si>
    <t>Zepto: Milk*2 and Maggie</t>
  </si>
  <si>
    <t>Auto to prima bay and shoes</t>
  </si>
  <si>
    <t>Zepto: Coke*2 and Chips</t>
  </si>
  <si>
    <t>Cab to Doolaly and Auto back to harshvardhan</t>
  </si>
  <si>
    <t>Bakery and ice-cream</t>
  </si>
  <si>
    <t>Ruchi Dinner</t>
  </si>
  <si>
    <t>Zepto: AA Batteries, Handwash 1.35l, Surf excel matic 4l, maggie, milk*2, coke*2, sprite, dark fantasy</t>
  </si>
  <si>
    <t>Zepto: Mango*3, Ice-cream, muskmelon bobby</t>
  </si>
  <si>
    <t>Cab to Delhi se, Cab back to harshvardhan, Delhi Se</t>
  </si>
  <si>
    <t>Ovenstory*4 Medium Pizzas</t>
  </si>
  <si>
    <t>Blinkit: Waffle mix, Vanilla essence, chips</t>
  </si>
  <si>
    <t>Hiranandani Auto</t>
  </si>
  <si>
    <t>Ruchi Lunch</t>
  </si>
  <si>
    <t>Minutes: Chips*4, bread, vegetables*6, country delight curd, milk*2</t>
  </si>
  <si>
    <t>Zepto: Peanut Butter</t>
  </si>
  <si>
    <t>Zepto: Garbage bags*2, refined oil, mayonnaise</t>
  </si>
  <si>
    <t>McD before gokarting</t>
  </si>
  <si>
    <t>Cab to gokarting place</t>
  </si>
  <si>
    <t>Gaurav</t>
  </si>
  <si>
    <t>Cab back to harshvardhan</t>
  </si>
  <si>
    <t>Zepto: Ramen*3, Coke*2, croissant, oats, peanuts*2, cheese slices</t>
  </si>
  <si>
    <t>McD Lunch</t>
  </si>
  <si>
    <t>Protein Bar</t>
  </si>
  <si>
    <t>Ice-cream</t>
  </si>
  <si>
    <t>Minutes: Chips*15, Milk*2, Bread, Bananas</t>
  </si>
  <si>
    <t>Fisherman's cove + Rapido to Hiranandani</t>
  </si>
  <si>
    <t>Fisherman's cove + Rapido to Hiranandani + Rapido back to harshvardhan</t>
  </si>
  <si>
    <t>Blinkit: Chilli Crisp, Onion, Coke</t>
  </si>
  <si>
    <t>Score Gaming lounge</t>
  </si>
  <si>
    <t>Minutes: Oil Dispenser, Vermicelli, milk</t>
  </si>
  <si>
    <t>Rishikesh Groceries: Ramen and all</t>
  </si>
  <si>
    <t>Blinkit: Cockroach repellent, Rice</t>
  </si>
  <si>
    <t>Auto to prima bay</t>
  </si>
  <si>
    <t>Instamart: Cheese, Coke, Pasta, Bread, Garlic Butter, Milk</t>
  </si>
  <si>
    <t>Minutes: Coke*3, Peanuts, Chips*5</t>
  </si>
  <si>
    <t>Daaru: Beers, Ballentines</t>
  </si>
  <si>
    <t>Movie Popcorn and nachos</t>
  </si>
  <si>
    <t>PPO party at Cantino</t>
  </si>
  <si>
    <t>Wifi Bill May</t>
  </si>
  <si>
    <t>Btech Project</t>
  </si>
  <si>
    <t>Blinkit: Milk*2, comfort, schezwan sauce, chaas*4, dark fantasy</t>
  </si>
  <si>
    <t>Brocode*3</t>
  </si>
  <si>
    <t>Zepto: 5*Ramen, Hocco Ice-Cream</t>
  </si>
  <si>
    <t>Auto to trupti farsan</t>
  </si>
  <si>
    <t>Auto to Doolaly</t>
  </si>
  <si>
    <t>Minutes: Scotch brite clothes, vegetables, paneer, scotch brite sponge wipes</t>
  </si>
  <si>
    <t>Blinkit: Chips and Whole spices</t>
  </si>
  <si>
    <t>Auto to harshvardhan</t>
  </si>
  <si>
    <t>Housefull 5 + Auto to and fro</t>
  </si>
  <si>
    <t>Minutes: Comfort, Godrej Air, Chips</t>
  </si>
  <si>
    <t>Blinkit: Surf Excel Matic, Milk, Mr. Muscle, Mccain, bread</t>
  </si>
  <si>
    <t>Zepto: Sprite Zero*2, Chaas*6, Coke</t>
  </si>
  <si>
    <t>Zepto: Sprite Zero*2, Chaas*6, Coke, Brush</t>
  </si>
  <si>
    <t>Zepto: Kulfi*4, Coke</t>
  </si>
  <si>
    <t>Auto to hiranandani</t>
  </si>
  <si>
    <t>Zepto</t>
  </si>
  <si>
    <t>Subway</t>
  </si>
  <si>
    <t>Zepto: Pasta, Coke, Milk</t>
  </si>
  <si>
    <t>Dmart for Aunty</t>
  </si>
  <si>
    <t>Zepto: Chakla, Knife</t>
  </si>
  <si>
    <t>Minutes: vegetables, tadka pan, whisk, flour, paneer, mushroom, scotch brite, poha, wrapping paper</t>
  </si>
  <si>
    <t>Trupti Farsan</t>
  </si>
  <si>
    <t>Gaurav Sweets</t>
  </si>
  <si>
    <t>Gas bill</t>
  </si>
  <si>
    <t>Amazon Prime Subscription</t>
  </si>
  <si>
    <t>Minutes: Coke, Vegetables, chaas, garbage bags, milton casserole set, ice-cream</t>
  </si>
  <si>
    <t>Wifi bill june</t>
  </si>
  <si>
    <t>Electricity Bill July</t>
  </si>
  <si>
    <t>Minutes: Vegetables, Paneer*2, Pees</t>
  </si>
  <si>
    <t>Blinkit: Vegetables, Handwash, Peanut Butter &amp; Jelly</t>
  </si>
  <si>
    <t>Minutes: Vegetables</t>
  </si>
  <si>
    <t>Zepto: Milk, Paneer*2, Refined Oil</t>
  </si>
  <si>
    <t>Wifi bill july</t>
  </si>
  <si>
    <t>Minutes: Vegetables, Paneer</t>
  </si>
  <si>
    <t>Gurav Sweets</t>
  </si>
  <si>
    <t>Auto back to harshvardhan</t>
  </si>
  <si>
    <t>Zepto: Gargbage Bags and Paneer</t>
  </si>
  <si>
    <t>Zepto: Mushroom*2, Milk*2, Bread</t>
  </si>
  <si>
    <t>Zepto: Dal*4</t>
  </si>
  <si>
    <t>August Wifi bill for 13 Days (July 26-Aug 7)</t>
  </si>
  <si>
    <t>Cab back to harshvardhan from R-City</t>
  </si>
  <si>
    <t>Auto to R-City</t>
  </si>
  <si>
    <t>Minutes: Vegetables, raw peanuts, mixture</t>
  </si>
  <si>
    <r>
      <t>Minutes: Country delight dahi, paneer</t>
    </r>
    <r>
      <rPr>
        <i/>
        <sz val="10.5"/>
        <color theme="1"/>
        <rFont val="Segoe UI"/>
        <family val="2"/>
      </rPr>
      <t>2, mushroom, rice</t>
    </r>
    <r>
      <rPr>
        <sz val="10.5"/>
        <color theme="1"/>
        <rFont val="Segoe UI"/>
        <family val="2"/>
      </rPr>
      <t>, vegetables, Milk</t>
    </r>
  </si>
  <si>
    <t>Minutes: Vegetables, chaas, rice</t>
  </si>
  <si>
    <t>Schwarma</t>
  </si>
  <si>
    <t>Rapio back to harshvardhan from BKC</t>
  </si>
  <si>
    <t>Splid from Jan, updated till 5th Aug 2025</t>
  </si>
  <si>
    <t>Doormats, Oil Dispenser*2, Gala Mop, Dustbins, Lint Rollers</t>
  </si>
  <si>
    <t>Zepto: Paneer, Milks, garbage bags, vegetables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</si>
</sst>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#,##0.00"/>
    <numFmt numFmtId="165" formatCode="[$-809]dd\ mmmm\ yyyy;@"/>
    <numFmt numFmtId="166" formatCode="[$-F800]dddd\,\ mmmm\ dd\,\ yyyy"/>
  </numFmts>
  <fonts count="6" x14ac:knownFonts="1"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theme="1"/>
      <name val="Segoe UI"/>
      <family val="2"/>
    </font>
    <font>
      <i/>
      <sz val="10.5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FB9FF"/>
        <bgColor indexed="64"/>
      </patternFill>
    </fill>
    <fill>
      <patternFill patternType="solid">
        <fgColor rgb="FFF8FFD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5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65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0" fillId="7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165" fontId="0" fillId="8" borderId="0" xfId="0" applyNumberFormat="1" applyFill="1" applyAlignment="1">
      <alignment horizontal="center" vertical="center"/>
    </xf>
    <xf numFmtId="164" fontId="0" fillId="8" borderId="0" xfId="0" applyNumberFormat="1" applyFill="1" applyAlignment="1">
      <alignment horizontal="center" vertical="center"/>
    </xf>
    <xf numFmtId="0" fontId="0" fillId="8" borderId="0" xfId="0" applyFill="1" applyAlignment="1">
      <alignment horizontal="left" vertical="center" wrapText="1"/>
    </xf>
    <xf numFmtId="165" fontId="0" fillId="9" borderId="0" xfId="0" applyNumberForma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164" fontId="0" fillId="9" borderId="0" xfId="0" applyNumberFormat="1" applyFill="1" applyAlignment="1">
      <alignment horizontal="center" vertical="center"/>
    </xf>
    <xf numFmtId="0" fontId="0" fillId="9" borderId="0" xfId="0" applyFill="1" applyAlignment="1">
      <alignment horizontal="left" vertical="center" wrapText="1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166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left"/>
    </xf>
    <xf numFmtId="164" fontId="3" fillId="0" borderId="0" xfId="0" applyNumberFormat="1" applyFont="1" applyAlignment="1">
      <alignment horizontal="left"/>
    </xf>
    <xf numFmtId="0" fontId="0" fillId="0" borderId="0" xfId="0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0" fontId="2" fillId="0" borderId="1" xfId="0" applyFont="1" applyBorder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  <xf numFmtId="164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horizontal="left" vertical="center"/>
    </xf>
  </cellXfs>
  <cellStyles count="1">
    <cellStyle name="Normal" xfId="0" builtinId="0"/>
  </cellStyles>
  <dxfs count="24"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F8FFDF"/>
      <color rgb="FFEFB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C6B10-3AC3-9A45-80AE-79256F278F72}">
  <dimension ref="A1:M615"/>
  <sheetViews>
    <sheetView zoomScale="150" zoomScaleNormal="110" workbookViewId="0">
      <pane ySplit="1" topLeftCell="A596" activePane="bottomLeft" state="frozen"/>
      <selection pane="bottomLeft" activeCell="D435" activeCellId="1" sqref="D422:D426 D435:D615"/>
    </sheetView>
  </sheetViews>
  <sheetFormatPr baseColWidth="10" defaultRowHeight="16" x14ac:dyDescent="0.2"/>
  <cols>
    <col min="1" max="1" width="18.83203125" style="8" customWidth="1"/>
    <col min="2" max="2" width="13.83203125" style="8" customWidth="1"/>
    <col min="3" max="3" width="19.33203125" style="2" bestFit="1" customWidth="1"/>
    <col min="4" max="4" width="11.1640625" style="6" bestFit="1" customWidth="1"/>
    <col min="5" max="5" width="19.33203125" style="2" customWidth="1"/>
    <col min="6" max="6" width="34.83203125" style="28" customWidth="1"/>
    <col min="7" max="7" width="40.1640625" style="2" customWidth="1"/>
    <col min="8" max="8" width="30.6640625" style="8" bestFit="1" customWidth="1"/>
    <col min="9" max="9" width="19.33203125" style="2" bestFit="1" customWidth="1"/>
    <col min="10" max="10" width="17.1640625" style="6" bestFit="1" customWidth="1"/>
    <col min="11" max="11" width="46.83203125" style="2" bestFit="1" customWidth="1"/>
    <col min="12" max="12" width="36.6640625" style="7" bestFit="1" customWidth="1"/>
    <col min="13" max="13" width="19" style="2" bestFit="1" customWidth="1"/>
    <col min="14" max="16384" width="10.83203125" style="2"/>
  </cols>
  <sheetData>
    <row r="1" spans="1:13" x14ac:dyDescent="0.2">
      <c r="H1" s="2"/>
    </row>
    <row r="2" spans="1:13" s="1" customFormat="1" ht="20" x14ac:dyDescent="0.2">
      <c r="A2" s="4" t="s">
        <v>4</v>
      </c>
      <c r="B2" s="4" t="s">
        <v>21</v>
      </c>
      <c r="C2" s="1" t="s">
        <v>0</v>
      </c>
      <c r="D2" s="3" t="s">
        <v>1</v>
      </c>
      <c r="E2" s="1" t="s">
        <v>2</v>
      </c>
      <c r="F2" s="5" t="s">
        <v>12</v>
      </c>
      <c r="H2" s="4" t="s">
        <v>4</v>
      </c>
      <c r="I2" s="1" t="s">
        <v>20</v>
      </c>
      <c r="J2" s="3" t="s">
        <v>1</v>
      </c>
      <c r="K2" s="1" t="s">
        <v>19</v>
      </c>
      <c r="L2" s="5" t="s">
        <v>12</v>
      </c>
      <c r="M2" s="1" t="s">
        <v>18</v>
      </c>
    </row>
    <row r="4" spans="1:13" ht="17" x14ac:dyDescent="0.2">
      <c r="A4" s="8">
        <v>45136</v>
      </c>
      <c r="B4" s="8" t="s">
        <v>22</v>
      </c>
      <c r="C4" s="2" t="s">
        <v>3</v>
      </c>
      <c r="D4" s="6">
        <v>172</v>
      </c>
      <c r="E4" s="2" t="s">
        <v>5</v>
      </c>
      <c r="F4" s="28" t="s">
        <v>6</v>
      </c>
    </row>
    <row r="5" spans="1:13" ht="17" x14ac:dyDescent="0.2">
      <c r="A5" s="8">
        <v>45140</v>
      </c>
      <c r="B5" s="8" t="s">
        <v>22</v>
      </c>
      <c r="C5" s="2" t="s">
        <v>3</v>
      </c>
      <c r="D5" s="6">
        <v>125</v>
      </c>
      <c r="E5" s="2" t="s">
        <v>5</v>
      </c>
      <c r="F5" s="28" t="s">
        <v>7</v>
      </c>
      <c r="H5" s="8">
        <v>45140</v>
      </c>
      <c r="I5" s="2" t="s">
        <v>11</v>
      </c>
      <c r="J5" s="6">
        <v>249</v>
      </c>
      <c r="K5" s="2" t="s">
        <v>9</v>
      </c>
      <c r="L5" s="7" t="s">
        <v>17</v>
      </c>
    </row>
    <row r="6" spans="1:13" ht="17" x14ac:dyDescent="0.2">
      <c r="A6" s="8">
        <v>45140</v>
      </c>
      <c r="B6" s="8" t="s">
        <v>22</v>
      </c>
      <c r="C6" s="2" t="s">
        <v>3</v>
      </c>
      <c r="D6" s="6">
        <v>132</v>
      </c>
      <c r="E6" s="2" t="s">
        <v>9</v>
      </c>
      <c r="F6" s="28" t="s">
        <v>10</v>
      </c>
      <c r="H6" s="8">
        <v>45147</v>
      </c>
      <c r="I6" s="2" t="s">
        <v>16</v>
      </c>
      <c r="J6" s="6">
        <v>230</v>
      </c>
      <c r="K6" s="2" t="s">
        <v>5</v>
      </c>
      <c r="L6" s="7" t="s">
        <v>53</v>
      </c>
    </row>
    <row r="7" spans="1:13" ht="17" x14ac:dyDescent="0.2">
      <c r="A7" s="8">
        <v>45140</v>
      </c>
      <c r="B7" s="8" t="s">
        <v>22</v>
      </c>
      <c r="C7" s="2" t="s">
        <v>3</v>
      </c>
      <c r="D7" s="6">
        <v>117</v>
      </c>
      <c r="E7" s="2" t="s">
        <v>5</v>
      </c>
      <c r="F7" s="28" t="s">
        <v>8</v>
      </c>
      <c r="H7" s="8">
        <v>45148</v>
      </c>
      <c r="I7" s="2" t="s">
        <v>24</v>
      </c>
      <c r="J7" s="6">
        <v>53</v>
      </c>
      <c r="K7" s="2" t="s">
        <v>9</v>
      </c>
      <c r="L7" s="7" t="s">
        <v>31</v>
      </c>
    </row>
    <row r="8" spans="1:13" ht="17" x14ac:dyDescent="0.2">
      <c r="A8" s="8">
        <v>45140</v>
      </c>
      <c r="B8" s="8" t="s">
        <v>22</v>
      </c>
      <c r="C8" s="2" t="s">
        <v>11</v>
      </c>
      <c r="D8" s="6">
        <v>132</v>
      </c>
      <c r="E8" s="2" t="s">
        <v>9</v>
      </c>
      <c r="F8" s="28" t="s">
        <v>10</v>
      </c>
      <c r="H8" s="8">
        <v>45148</v>
      </c>
      <c r="I8" s="2" t="s">
        <v>24</v>
      </c>
      <c r="J8" s="6">
        <v>97</v>
      </c>
      <c r="K8" s="2" t="s">
        <v>5</v>
      </c>
      <c r="L8" s="7" t="s">
        <v>30</v>
      </c>
    </row>
    <row r="9" spans="1:13" ht="17" x14ac:dyDescent="0.2">
      <c r="A9" s="8">
        <v>45140</v>
      </c>
      <c r="B9" s="8" t="s">
        <v>22</v>
      </c>
      <c r="C9" s="2" t="s">
        <v>11</v>
      </c>
      <c r="D9" s="6">
        <v>117</v>
      </c>
      <c r="E9" s="2" t="s">
        <v>5</v>
      </c>
      <c r="F9" s="28" t="s">
        <v>8</v>
      </c>
      <c r="H9" s="8">
        <v>45153</v>
      </c>
      <c r="I9" s="2" t="s">
        <v>25</v>
      </c>
      <c r="J9" s="6">
        <v>53</v>
      </c>
      <c r="K9" s="2" t="s">
        <v>9</v>
      </c>
      <c r="L9" s="7" t="s">
        <v>31</v>
      </c>
    </row>
    <row r="10" spans="1:13" ht="17" x14ac:dyDescent="0.2">
      <c r="A10" s="8">
        <v>45141</v>
      </c>
      <c r="B10" s="8" t="s">
        <v>22</v>
      </c>
      <c r="C10" s="2" t="s">
        <v>3</v>
      </c>
      <c r="D10" s="6">
        <v>72.5</v>
      </c>
      <c r="E10" s="2" t="s">
        <v>5</v>
      </c>
      <c r="F10" s="28" t="s">
        <v>45</v>
      </c>
      <c r="H10" s="8">
        <v>45153</v>
      </c>
      <c r="I10" s="2" t="s">
        <v>3</v>
      </c>
      <c r="J10" s="6">
        <v>53</v>
      </c>
      <c r="K10" s="2" t="s">
        <v>9</v>
      </c>
      <c r="L10" s="7" t="s">
        <v>31</v>
      </c>
    </row>
    <row r="11" spans="1:13" ht="17" x14ac:dyDescent="0.2">
      <c r="A11" s="8">
        <v>45145</v>
      </c>
      <c r="B11" s="8" t="s">
        <v>195</v>
      </c>
      <c r="C11" s="2" t="s">
        <v>15</v>
      </c>
      <c r="D11" s="6">
        <v>222.5</v>
      </c>
      <c r="E11" s="2" t="s">
        <v>5</v>
      </c>
      <c r="F11" s="28" t="s">
        <v>14</v>
      </c>
      <c r="H11" s="8">
        <v>45153</v>
      </c>
      <c r="I11" s="2" t="s">
        <v>3</v>
      </c>
      <c r="J11" s="6">
        <v>101</v>
      </c>
      <c r="K11" s="2" t="s">
        <v>9</v>
      </c>
      <c r="L11" s="7" t="s">
        <v>34</v>
      </c>
    </row>
    <row r="12" spans="1:13" ht="17" x14ac:dyDescent="0.2">
      <c r="A12" s="8">
        <v>45145</v>
      </c>
      <c r="B12" s="8" t="s">
        <v>22</v>
      </c>
      <c r="C12" s="2" t="s">
        <v>11</v>
      </c>
      <c r="D12" s="6">
        <v>10</v>
      </c>
      <c r="E12" s="2" t="s">
        <v>9</v>
      </c>
      <c r="F12" s="28" t="s">
        <v>13</v>
      </c>
      <c r="H12" s="8">
        <v>45157</v>
      </c>
      <c r="I12" s="2" t="s">
        <v>11</v>
      </c>
      <c r="J12" s="6">
        <v>235</v>
      </c>
      <c r="K12" s="2" t="s">
        <v>5</v>
      </c>
      <c r="L12" s="7" t="s">
        <v>53</v>
      </c>
    </row>
    <row r="13" spans="1:13" ht="17" x14ac:dyDescent="0.2">
      <c r="A13" s="8">
        <v>45145</v>
      </c>
      <c r="B13" s="8" t="s">
        <v>22</v>
      </c>
      <c r="C13" s="2" t="s">
        <v>11</v>
      </c>
      <c r="D13" s="6">
        <v>222.5</v>
      </c>
      <c r="E13" s="2" t="s">
        <v>5</v>
      </c>
      <c r="F13" s="28" t="s">
        <v>14</v>
      </c>
      <c r="H13" s="8">
        <v>45152</v>
      </c>
      <c r="I13" s="2" t="s">
        <v>35</v>
      </c>
      <c r="J13" s="6">
        <v>152</v>
      </c>
      <c r="K13" s="2" t="s">
        <v>5</v>
      </c>
      <c r="L13" s="7" t="s">
        <v>47</v>
      </c>
    </row>
    <row r="14" spans="1:13" ht="17" x14ac:dyDescent="0.2">
      <c r="A14" s="8">
        <v>45145</v>
      </c>
      <c r="B14" s="8" t="s">
        <v>22</v>
      </c>
      <c r="C14" s="2" t="s">
        <v>16</v>
      </c>
      <c r="D14" s="6">
        <v>10</v>
      </c>
      <c r="E14" s="2" t="s">
        <v>9</v>
      </c>
      <c r="F14" s="28" t="s">
        <v>13</v>
      </c>
      <c r="H14" s="8">
        <v>45152</v>
      </c>
      <c r="I14" s="2" t="s">
        <v>25</v>
      </c>
      <c r="J14" s="6">
        <v>156</v>
      </c>
      <c r="K14" s="2" t="s">
        <v>5</v>
      </c>
      <c r="L14" s="7" t="s">
        <v>47</v>
      </c>
    </row>
    <row r="15" spans="1:13" ht="17" x14ac:dyDescent="0.2">
      <c r="A15" s="8">
        <v>45145</v>
      </c>
      <c r="B15" s="8" t="s">
        <v>22</v>
      </c>
      <c r="C15" s="2" t="s">
        <v>16</v>
      </c>
      <c r="D15" s="6">
        <v>222.5</v>
      </c>
      <c r="E15" s="2" t="s">
        <v>5</v>
      </c>
      <c r="F15" s="28" t="s">
        <v>14</v>
      </c>
      <c r="H15" s="8">
        <v>45152</v>
      </c>
      <c r="I15" s="2" t="s">
        <v>3</v>
      </c>
      <c r="J15" s="6">
        <v>125</v>
      </c>
      <c r="K15" s="2" t="s">
        <v>5</v>
      </c>
      <c r="L15" s="7" t="s">
        <v>39</v>
      </c>
    </row>
    <row r="16" spans="1:13" ht="17" x14ac:dyDescent="0.2">
      <c r="A16" s="8">
        <v>45145</v>
      </c>
      <c r="B16" s="8" t="s">
        <v>22</v>
      </c>
      <c r="C16" s="2" t="s">
        <v>15</v>
      </c>
      <c r="D16" s="6">
        <v>10</v>
      </c>
      <c r="E16" s="2" t="s">
        <v>9</v>
      </c>
      <c r="F16" s="28" t="s">
        <v>13</v>
      </c>
      <c r="H16" s="8">
        <v>45152</v>
      </c>
      <c r="I16" s="2" t="s">
        <v>3</v>
      </c>
      <c r="J16" s="6">
        <v>132</v>
      </c>
      <c r="K16" s="2" t="s">
        <v>9</v>
      </c>
      <c r="L16" s="7" t="s">
        <v>40</v>
      </c>
    </row>
    <row r="17" spans="1:12" ht="17" x14ac:dyDescent="0.2">
      <c r="A17" s="8">
        <v>45146</v>
      </c>
      <c r="B17" s="8" t="s">
        <v>22</v>
      </c>
      <c r="C17" s="2" t="s">
        <v>24</v>
      </c>
      <c r="D17" s="6">
        <v>53</v>
      </c>
      <c r="E17" s="2" t="s">
        <v>9</v>
      </c>
      <c r="F17" s="28" t="s">
        <v>26</v>
      </c>
      <c r="H17" s="8">
        <v>45152</v>
      </c>
      <c r="I17" s="2" t="s">
        <v>3</v>
      </c>
      <c r="J17" s="6">
        <v>117</v>
      </c>
      <c r="K17" s="2" t="s">
        <v>5</v>
      </c>
      <c r="L17" s="7" t="s">
        <v>41</v>
      </c>
    </row>
    <row r="18" spans="1:12" ht="17" x14ac:dyDescent="0.2">
      <c r="A18" s="8">
        <v>45146</v>
      </c>
      <c r="B18" s="8" t="s">
        <v>22</v>
      </c>
      <c r="C18" s="2" t="s">
        <v>3</v>
      </c>
      <c r="D18" s="6">
        <v>53</v>
      </c>
      <c r="E18" s="2" t="s">
        <v>9</v>
      </c>
      <c r="F18" s="28" t="s">
        <v>26</v>
      </c>
      <c r="H18" s="8">
        <v>45152</v>
      </c>
      <c r="I18" s="2" t="s">
        <v>3</v>
      </c>
      <c r="J18" s="6">
        <v>172</v>
      </c>
      <c r="K18" s="2" t="s">
        <v>5</v>
      </c>
      <c r="L18" s="7" t="s">
        <v>42</v>
      </c>
    </row>
    <row r="19" spans="1:12" ht="17" x14ac:dyDescent="0.2">
      <c r="A19" s="8">
        <v>45146</v>
      </c>
      <c r="B19" s="8" t="s">
        <v>22</v>
      </c>
      <c r="C19" s="2" t="s">
        <v>25</v>
      </c>
      <c r="D19" s="6">
        <v>53</v>
      </c>
      <c r="E19" s="2" t="s">
        <v>9</v>
      </c>
      <c r="F19" s="28" t="s">
        <v>26</v>
      </c>
    </row>
    <row r="20" spans="1:12" ht="34" x14ac:dyDescent="0.2">
      <c r="A20" s="8">
        <v>45146</v>
      </c>
      <c r="B20" s="8" t="s">
        <v>22</v>
      </c>
      <c r="C20" s="2" t="s">
        <v>24</v>
      </c>
      <c r="D20" s="6">
        <v>10</v>
      </c>
      <c r="E20" s="2" t="s">
        <v>9</v>
      </c>
      <c r="F20" s="28" t="s">
        <v>28</v>
      </c>
      <c r="H20" s="8">
        <v>45152</v>
      </c>
      <c r="I20" s="2" t="s">
        <v>3</v>
      </c>
      <c r="J20" s="6">
        <v>150</v>
      </c>
      <c r="K20" s="2" t="s">
        <v>5</v>
      </c>
      <c r="L20" s="7" t="s">
        <v>44</v>
      </c>
    </row>
    <row r="21" spans="1:12" ht="17" x14ac:dyDescent="0.2">
      <c r="A21" s="8">
        <v>45147</v>
      </c>
      <c r="B21" s="8" t="s">
        <v>22</v>
      </c>
      <c r="C21" s="2" t="s">
        <v>3</v>
      </c>
      <c r="D21" s="6">
        <v>101</v>
      </c>
      <c r="E21" s="2" t="s">
        <v>9</v>
      </c>
      <c r="F21" s="28" t="s">
        <v>27</v>
      </c>
      <c r="H21" s="8">
        <v>45152</v>
      </c>
      <c r="I21" s="2" t="s">
        <v>3</v>
      </c>
      <c r="J21" s="6">
        <v>98</v>
      </c>
      <c r="K21" s="2" t="s">
        <v>5</v>
      </c>
      <c r="L21" s="7" t="s">
        <v>43</v>
      </c>
    </row>
    <row r="22" spans="1:12" ht="17" x14ac:dyDescent="0.2">
      <c r="A22" s="8">
        <v>45148</v>
      </c>
      <c r="B22" s="8" t="s">
        <v>22</v>
      </c>
      <c r="C22" s="2" t="s">
        <v>24</v>
      </c>
      <c r="D22" s="6">
        <v>97</v>
      </c>
      <c r="E22" s="2" t="s">
        <v>5</v>
      </c>
      <c r="F22" s="28" t="s">
        <v>29</v>
      </c>
      <c r="H22" s="8">
        <v>45152</v>
      </c>
      <c r="I22" s="2" t="s">
        <v>3</v>
      </c>
      <c r="J22" s="6">
        <v>156</v>
      </c>
      <c r="K22" s="2" t="s">
        <v>5</v>
      </c>
      <c r="L22" s="7" t="s">
        <v>47</v>
      </c>
    </row>
    <row r="23" spans="1:12" ht="17" x14ac:dyDescent="0.2">
      <c r="A23" s="8">
        <v>45148</v>
      </c>
      <c r="B23" s="8" t="s">
        <v>22</v>
      </c>
      <c r="C23" s="2" t="s">
        <v>3</v>
      </c>
      <c r="D23" s="6">
        <v>98</v>
      </c>
      <c r="E23" s="2" t="s">
        <v>5</v>
      </c>
      <c r="F23" s="28" t="s">
        <v>29</v>
      </c>
      <c r="H23" s="8">
        <v>45152</v>
      </c>
      <c r="I23" s="2" t="s">
        <v>3</v>
      </c>
      <c r="J23" s="6">
        <v>72</v>
      </c>
      <c r="K23" s="2" t="s">
        <v>5</v>
      </c>
      <c r="L23" s="7" t="s">
        <v>46</v>
      </c>
    </row>
    <row r="24" spans="1:12" ht="17" x14ac:dyDescent="0.2">
      <c r="A24" s="8">
        <v>45151</v>
      </c>
      <c r="B24" s="8" t="s">
        <v>22</v>
      </c>
      <c r="C24" s="2" t="s">
        <v>3</v>
      </c>
      <c r="D24" s="6">
        <v>70</v>
      </c>
      <c r="E24" s="2" t="s">
        <v>5</v>
      </c>
      <c r="F24" s="28" t="s">
        <v>32</v>
      </c>
      <c r="H24" s="8">
        <v>45168</v>
      </c>
      <c r="I24" s="2" t="s">
        <v>24</v>
      </c>
      <c r="J24" s="6">
        <v>10</v>
      </c>
      <c r="K24" s="2" t="s">
        <v>9</v>
      </c>
      <c r="L24" s="7" t="s">
        <v>61</v>
      </c>
    </row>
    <row r="25" spans="1:12" ht="17" x14ac:dyDescent="0.2">
      <c r="A25" s="8">
        <v>45151</v>
      </c>
      <c r="B25" s="8" t="s">
        <v>22</v>
      </c>
      <c r="C25" s="2" t="s">
        <v>11</v>
      </c>
      <c r="D25" s="6">
        <v>70</v>
      </c>
      <c r="E25" s="2" t="s">
        <v>5</v>
      </c>
      <c r="F25" s="28" t="s">
        <v>32</v>
      </c>
      <c r="H25" s="8">
        <v>45168</v>
      </c>
      <c r="I25" s="2" t="s">
        <v>24</v>
      </c>
      <c r="J25" s="6">
        <v>107</v>
      </c>
      <c r="K25" s="2" t="s">
        <v>9</v>
      </c>
      <c r="L25" s="7" t="s">
        <v>60</v>
      </c>
    </row>
    <row r="26" spans="1:12" ht="34" x14ac:dyDescent="0.2">
      <c r="A26" s="8">
        <v>45151</v>
      </c>
      <c r="B26" s="8" t="s">
        <v>22</v>
      </c>
      <c r="C26" s="2" t="s">
        <v>3</v>
      </c>
      <c r="D26" s="6">
        <v>80</v>
      </c>
      <c r="E26" s="2" t="s">
        <v>5</v>
      </c>
      <c r="F26" s="28" t="s">
        <v>33</v>
      </c>
      <c r="H26" s="8">
        <v>45168</v>
      </c>
      <c r="I26" s="2" t="s">
        <v>24</v>
      </c>
      <c r="J26" s="6">
        <v>95</v>
      </c>
      <c r="K26" s="2" t="s">
        <v>9</v>
      </c>
      <c r="L26" s="7" t="s">
        <v>57</v>
      </c>
    </row>
    <row r="27" spans="1:12" ht="17" x14ac:dyDescent="0.2">
      <c r="A27" s="8">
        <v>45151</v>
      </c>
      <c r="B27" s="8" t="s">
        <v>22</v>
      </c>
      <c r="C27" s="2" t="s">
        <v>11</v>
      </c>
      <c r="D27" s="6">
        <v>80</v>
      </c>
      <c r="E27" s="2" t="s">
        <v>5</v>
      </c>
      <c r="F27" s="28" t="s">
        <v>33</v>
      </c>
      <c r="H27" s="8">
        <v>45168</v>
      </c>
      <c r="I27" s="2" t="s">
        <v>24</v>
      </c>
      <c r="J27" s="6">
        <v>230</v>
      </c>
      <c r="K27" s="2" t="s">
        <v>9</v>
      </c>
      <c r="L27" s="7" t="s">
        <v>58</v>
      </c>
    </row>
    <row r="28" spans="1:12" ht="17" x14ac:dyDescent="0.2">
      <c r="A28" s="8">
        <v>45152</v>
      </c>
      <c r="B28" s="8" t="s">
        <v>22</v>
      </c>
      <c r="C28" s="2" t="s">
        <v>35</v>
      </c>
      <c r="D28" s="6">
        <v>152</v>
      </c>
      <c r="E28" s="2" t="s">
        <v>5</v>
      </c>
      <c r="F28" s="28" t="s">
        <v>38</v>
      </c>
      <c r="H28" s="8">
        <v>45168</v>
      </c>
      <c r="I28" s="2" t="s">
        <v>24</v>
      </c>
      <c r="J28" s="6">
        <v>17</v>
      </c>
      <c r="K28" s="2" t="s">
        <v>5</v>
      </c>
      <c r="L28" s="7" t="s">
        <v>59</v>
      </c>
    </row>
    <row r="29" spans="1:12" ht="17" x14ac:dyDescent="0.2">
      <c r="A29" s="8">
        <v>45152</v>
      </c>
      <c r="B29" s="8" t="s">
        <v>22</v>
      </c>
      <c r="C29" s="2" t="s">
        <v>3</v>
      </c>
      <c r="D29" s="6">
        <v>156</v>
      </c>
      <c r="E29" s="2" t="s">
        <v>5</v>
      </c>
      <c r="F29" s="28" t="s">
        <v>38</v>
      </c>
      <c r="H29" s="8">
        <v>45168</v>
      </c>
      <c r="I29" s="2" t="s">
        <v>24</v>
      </c>
      <c r="J29" s="6">
        <v>180</v>
      </c>
      <c r="K29" s="2" t="s">
        <v>5</v>
      </c>
      <c r="L29" s="7" t="s">
        <v>62</v>
      </c>
    </row>
    <row r="30" spans="1:12" ht="17" x14ac:dyDescent="0.2">
      <c r="A30" s="8">
        <v>45152</v>
      </c>
      <c r="B30" s="8" t="s">
        <v>22</v>
      </c>
      <c r="C30" s="2" t="s">
        <v>25</v>
      </c>
      <c r="D30" s="6">
        <v>156</v>
      </c>
      <c r="E30" s="2" t="s">
        <v>5</v>
      </c>
      <c r="F30" s="28" t="s">
        <v>38</v>
      </c>
      <c r="H30" s="8">
        <v>45168</v>
      </c>
      <c r="I30" s="2" t="s">
        <v>15</v>
      </c>
      <c r="J30" s="6">
        <v>122</v>
      </c>
      <c r="K30" s="2" t="s">
        <v>5</v>
      </c>
      <c r="L30" s="7" t="s">
        <v>53</v>
      </c>
    </row>
    <row r="31" spans="1:12" ht="17" x14ac:dyDescent="0.2">
      <c r="A31" s="8">
        <v>45152</v>
      </c>
      <c r="B31" s="8" t="s">
        <v>22</v>
      </c>
      <c r="C31" s="2" t="s">
        <v>36</v>
      </c>
      <c r="D31" s="6">
        <v>100</v>
      </c>
      <c r="E31" s="2" t="s">
        <v>5</v>
      </c>
      <c r="F31" s="28" t="s">
        <v>38</v>
      </c>
      <c r="H31" s="8">
        <v>45168</v>
      </c>
      <c r="I31" s="2" t="s">
        <v>15</v>
      </c>
      <c r="J31" s="6">
        <v>10</v>
      </c>
      <c r="K31" s="2" t="s">
        <v>9</v>
      </c>
      <c r="L31" s="7" t="s">
        <v>53</v>
      </c>
    </row>
    <row r="32" spans="1:12" ht="17" x14ac:dyDescent="0.2">
      <c r="A32" s="8">
        <v>45152</v>
      </c>
      <c r="B32" s="8" t="s">
        <v>22</v>
      </c>
      <c r="C32" s="2" t="s">
        <v>37</v>
      </c>
      <c r="D32" s="6">
        <v>152</v>
      </c>
      <c r="E32" s="2" t="s">
        <v>5</v>
      </c>
      <c r="F32" s="28" t="s">
        <v>38</v>
      </c>
      <c r="H32" s="8">
        <v>45168</v>
      </c>
      <c r="I32" s="2" t="s">
        <v>63</v>
      </c>
      <c r="J32" s="6">
        <v>152</v>
      </c>
      <c r="K32" s="2" t="s">
        <v>5</v>
      </c>
      <c r="L32" s="7" t="s">
        <v>47</v>
      </c>
    </row>
    <row r="33" spans="1:12" ht="34" x14ac:dyDescent="0.2">
      <c r="A33" s="8">
        <v>45159</v>
      </c>
      <c r="B33" s="8" t="s">
        <v>22</v>
      </c>
      <c r="C33" s="2" t="s">
        <v>24</v>
      </c>
      <c r="D33" s="6">
        <v>95</v>
      </c>
      <c r="E33" s="2" t="s">
        <v>9</v>
      </c>
      <c r="F33" s="28" t="s">
        <v>49</v>
      </c>
    </row>
    <row r="34" spans="1:12" ht="34" x14ac:dyDescent="0.2">
      <c r="A34" s="8">
        <v>45159</v>
      </c>
      <c r="B34" s="8" t="s">
        <v>22</v>
      </c>
      <c r="C34" s="2" t="s">
        <v>3</v>
      </c>
      <c r="D34" s="6">
        <v>95</v>
      </c>
      <c r="E34" s="2" t="s">
        <v>9</v>
      </c>
      <c r="F34" s="28" t="s">
        <v>49</v>
      </c>
      <c r="H34" s="8">
        <v>45189</v>
      </c>
      <c r="I34" s="2" t="s">
        <v>24</v>
      </c>
      <c r="J34" s="6">
        <v>80</v>
      </c>
      <c r="K34" s="2" t="s">
        <v>5</v>
      </c>
      <c r="L34" s="7" t="s">
        <v>74</v>
      </c>
    </row>
    <row r="35" spans="1:12" ht="17" x14ac:dyDescent="0.2">
      <c r="A35" s="8">
        <v>45159</v>
      </c>
      <c r="B35" s="8" t="s">
        <v>22</v>
      </c>
      <c r="C35" s="2" t="s">
        <v>3</v>
      </c>
      <c r="D35" s="6">
        <v>12</v>
      </c>
      <c r="E35" s="2" t="s">
        <v>9</v>
      </c>
      <c r="F35" s="28" t="s">
        <v>50</v>
      </c>
      <c r="H35" s="8">
        <v>45189</v>
      </c>
      <c r="I35" s="2" t="s">
        <v>24</v>
      </c>
      <c r="J35" s="6">
        <v>211</v>
      </c>
      <c r="K35" s="2" t="s">
        <v>5</v>
      </c>
      <c r="L35" s="7" t="s">
        <v>73</v>
      </c>
    </row>
    <row r="36" spans="1:12" ht="17" x14ac:dyDescent="0.2">
      <c r="A36" s="8">
        <v>45159</v>
      </c>
      <c r="B36" s="8" t="s">
        <v>22</v>
      </c>
      <c r="C36" s="2" t="s">
        <v>24</v>
      </c>
      <c r="D36" s="6">
        <v>230</v>
      </c>
      <c r="E36" s="2" t="s">
        <v>9</v>
      </c>
      <c r="F36" s="28" t="s">
        <v>51</v>
      </c>
      <c r="H36" s="8">
        <v>45189</v>
      </c>
      <c r="I36" s="2" t="s">
        <v>24</v>
      </c>
      <c r="J36" s="6">
        <v>210</v>
      </c>
      <c r="K36" s="2" t="s">
        <v>5</v>
      </c>
      <c r="L36" s="7" t="s">
        <v>72</v>
      </c>
    </row>
    <row r="37" spans="1:12" ht="17" x14ac:dyDescent="0.2">
      <c r="A37" s="8">
        <v>45159</v>
      </c>
      <c r="B37" s="8" t="s">
        <v>22</v>
      </c>
      <c r="C37" s="2" t="s">
        <v>3</v>
      </c>
      <c r="D37" s="6">
        <v>230</v>
      </c>
      <c r="E37" s="2" t="s">
        <v>9</v>
      </c>
      <c r="F37" s="28" t="s">
        <v>51</v>
      </c>
      <c r="H37" s="8">
        <v>45189</v>
      </c>
      <c r="I37" s="2" t="s">
        <v>24</v>
      </c>
      <c r="J37" s="6">
        <v>118</v>
      </c>
      <c r="K37" s="2" t="s">
        <v>5</v>
      </c>
      <c r="L37" s="7" t="s">
        <v>71</v>
      </c>
    </row>
    <row r="38" spans="1:12" ht="17" x14ac:dyDescent="0.2">
      <c r="A38" s="8">
        <v>45159</v>
      </c>
      <c r="B38" s="8" t="s">
        <v>22</v>
      </c>
      <c r="C38" s="2" t="s">
        <v>24</v>
      </c>
      <c r="D38" s="6">
        <v>17</v>
      </c>
      <c r="E38" s="2" t="s">
        <v>5</v>
      </c>
      <c r="F38" s="28" t="s">
        <v>52</v>
      </c>
      <c r="H38" s="8">
        <v>45194</v>
      </c>
      <c r="I38" s="2" t="s">
        <v>11</v>
      </c>
      <c r="J38" s="6">
        <v>70</v>
      </c>
      <c r="K38" s="2" t="s">
        <v>5</v>
      </c>
      <c r="L38" s="7" t="s">
        <v>80</v>
      </c>
    </row>
    <row r="39" spans="1:12" ht="17" x14ac:dyDescent="0.2">
      <c r="A39" s="8">
        <v>45159</v>
      </c>
      <c r="B39" s="8" t="s">
        <v>22</v>
      </c>
      <c r="C39" s="2" t="s">
        <v>3</v>
      </c>
      <c r="D39" s="6">
        <v>17</v>
      </c>
      <c r="E39" s="2" t="s">
        <v>5</v>
      </c>
      <c r="F39" s="28" t="s">
        <v>52</v>
      </c>
      <c r="H39" s="8">
        <v>45194</v>
      </c>
      <c r="I39" s="2" t="s">
        <v>11</v>
      </c>
      <c r="J39" s="6">
        <v>80</v>
      </c>
      <c r="K39" s="2" t="s">
        <v>5</v>
      </c>
      <c r="L39" s="7" t="s">
        <v>80</v>
      </c>
    </row>
    <row r="40" spans="1:12" ht="17" x14ac:dyDescent="0.2">
      <c r="A40" s="8">
        <v>45160</v>
      </c>
      <c r="B40" s="8" t="s">
        <v>22</v>
      </c>
      <c r="C40" s="2" t="s">
        <v>24</v>
      </c>
      <c r="D40" s="6">
        <v>107</v>
      </c>
      <c r="E40" s="2" t="s">
        <v>9</v>
      </c>
      <c r="F40" s="28" t="s">
        <v>48</v>
      </c>
      <c r="H40" s="8">
        <v>45194</v>
      </c>
      <c r="I40" s="2" t="s">
        <v>11</v>
      </c>
      <c r="J40" s="6">
        <v>162</v>
      </c>
      <c r="K40" s="2" t="s">
        <v>5</v>
      </c>
      <c r="L40" s="7" t="s">
        <v>81</v>
      </c>
    </row>
    <row r="41" spans="1:12" ht="17" x14ac:dyDescent="0.2">
      <c r="A41" s="8">
        <v>45166</v>
      </c>
      <c r="B41" s="8" t="s">
        <v>22</v>
      </c>
      <c r="C41" s="2" t="s">
        <v>24</v>
      </c>
      <c r="D41" s="6">
        <v>180</v>
      </c>
      <c r="E41" s="2" t="s">
        <v>5</v>
      </c>
      <c r="F41" s="28" t="s">
        <v>54</v>
      </c>
      <c r="H41" s="8">
        <v>45193</v>
      </c>
      <c r="I41" s="2" t="s">
        <v>3</v>
      </c>
      <c r="J41" s="6">
        <v>110</v>
      </c>
      <c r="K41" s="2" t="s">
        <v>5</v>
      </c>
      <c r="L41" s="7" t="s">
        <v>82</v>
      </c>
    </row>
    <row r="42" spans="1:12" ht="17" x14ac:dyDescent="0.2">
      <c r="A42" s="8">
        <v>45166</v>
      </c>
      <c r="B42" s="8" t="s">
        <v>22</v>
      </c>
      <c r="C42" s="2" t="s">
        <v>3</v>
      </c>
      <c r="D42" s="6">
        <v>180</v>
      </c>
      <c r="E42" s="2" t="s">
        <v>5</v>
      </c>
      <c r="F42" s="28" t="s">
        <v>54</v>
      </c>
      <c r="H42" s="8">
        <v>45193</v>
      </c>
      <c r="I42" s="2" t="s">
        <v>3</v>
      </c>
      <c r="J42" s="6">
        <v>17</v>
      </c>
      <c r="K42" s="2" t="s">
        <v>5</v>
      </c>
      <c r="L42" s="7" t="s">
        <v>91</v>
      </c>
    </row>
    <row r="43" spans="1:12" ht="17" x14ac:dyDescent="0.2">
      <c r="A43" s="8">
        <v>45167</v>
      </c>
      <c r="B43" s="8" t="s">
        <v>22</v>
      </c>
      <c r="C43" s="2" t="s">
        <v>3</v>
      </c>
      <c r="D43" s="6">
        <v>127</v>
      </c>
      <c r="E43" s="2" t="s">
        <v>5</v>
      </c>
      <c r="F43" s="28" t="s">
        <v>32</v>
      </c>
      <c r="H43" s="8">
        <v>45193</v>
      </c>
      <c r="I43" s="2" t="s">
        <v>3</v>
      </c>
      <c r="J43" s="6">
        <v>180</v>
      </c>
      <c r="K43" s="2" t="s">
        <v>5</v>
      </c>
      <c r="L43" s="7" t="s">
        <v>87</v>
      </c>
    </row>
    <row r="44" spans="1:12" ht="17" x14ac:dyDescent="0.2">
      <c r="A44" s="8">
        <v>45169</v>
      </c>
      <c r="B44" s="8" t="s">
        <v>22</v>
      </c>
      <c r="C44" s="2" t="s">
        <v>3</v>
      </c>
      <c r="D44" s="6">
        <v>19</v>
      </c>
      <c r="E44" s="2" t="s">
        <v>5</v>
      </c>
      <c r="F44" s="28" t="s">
        <v>64</v>
      </c>
      <c r="H44" s="8">
        <v>45193</v>
      </c>
      <c r="I44" s="2" t="s">
        <v>3</v>
      </c>
      <c r="J44" s="6">
        <v>127</v>
      </c>
      <c r="K44" s="2" t="s">
        <v>5</v>
      </c>
      <c r="L44" s="7" t="s">
        <v>88</v>
      </c>
    </row>
    <row r="45" spans="1:12" ht="17" x14ac:dyDescent="0.2">
      <c r="A45" s="8">
        <v>45170</v>
      </c>
      <c r="B45" s="8" t="s">
        <v>22</v>
      </c>
      <c r="C45" s="2" t="s">
        <v>3</v>
      </c>
      <c r="D45" s="6">
        <v>162</v>
      </c>
      <c r="E45" s="2" t="s">
        <v>5</v>
      </c>
      <c r="F45" s="28" t="s">
        <v>65</v>
      </c>
      <c r="H45" s="8">
        <v>45193</v>
      </c>
      <c r="I45" s="2" t="s">
        <v>3</v>
      </c>
      <c r="J45" s="6">
        <v>19</v>
      </c>
      <c r="K45" s="2" t="s">
        <v>5</v>
      </c>
      <c r="L45" s="7" t="s">
        <v>89</v>
      </c>
    </row>
    <row r="46" spans="1:12" ht="17" x14ac:dyDescent="0.2">
      <c r="A46" s="8">
        <v>45170</v>
      </c>
      <c r="B46" s="8" t="s">
        <v>22</v>
      </c>
      <c r="C46" s="2" t="s">
        <v>11</v>
      </c>
      <c r="D46" s="6">
        <v>162</v>
      </c>
      <c r="E46" s="2" t="s">
        <v>5</v>
      </c>
      <c r="F46" s="28" t="s">
        <v>65</v>
      </c>
      <c r="H46" s="8">
        <v>45193</v>
      </c>
      <c r="I46" s="2" t="s">
        <v>3</v>
      </c>
      <c r="J46" s="6">
        <v>162</v>
      </c>
      <c r="K46" s="2" t="s">
        <v>5</v>
      </c>
      <c r="L46" s="7" t="s">
        <v>90</v>
      </c>
    </row>
    <row r="47" spans="1:12" ht="17" x14ac:dyDescent="0.2">
      <c r="A47" s="8">
        <v>45170</v>
      </c>
      <c r="B47" s="8" t="s">
        <v>22</v>
      </c>
      <c r="C47" s="2" t="s">
        <v>25</v>
      </c>
      <c r="D47" s="6">
        <v>162</v>
      </c>
      <c r="E47" s="2" t="s">
        <v>5</v>
      </c>
      <c r="F47" s="28" t="s">
        <v>65</v>
      </c>
      <c r="H47" s="8">
        <v>45198</v>
      </c>
      <c r="I47" s="2" t="s">
        <v>3</v>
      </c>
      <c r="J47" s="6">
        <v>55</v>
      </c>
      <c r="K47" s="2" t="s">
        <v>9</v>
      </c>
      <c r="L47" s="7" t="s">
        <v>83</v>
      </c>
    </row>
    <row r="48" spans="1:12" ht="17" x14ac:dyDescent="0.2">
      <c r="A48" s="8">
        <v>45181</v>
      </c>
      <c r="B48" s="8" t="s">
        <v>22</v>
      </c>
      <c r="C48" s="2" t="s">
        <v>3</v>
      </c>
      <c r="D48" s="6">
        <v>110</v>
      </c>
      <c r="E48" s="2" t="s">
        <v>5</v>
      </c>
      <c r="F48" s="28" t="s">
        <v>66</v>
      </c>
      <c r="H48" s="8">
        <v>45198</v>
      </c>
      <c r="I48" s="2" t="s">
        <v>3</v>
      </c>
      <c r="J48" s="6">
        <v>95</v>
      </c>
      <c r="K48" s="2" t="s">
        <v>9</v>
      </c>
      <c r="L48" s="7" t="s">
        <v>84</v>
      </c>
    </row>
    <row r="49" spans="1:12" ht="17" x14ac:dyDescent="0.2">
      <c r="A49" s="8">
        <v>45181</v>
      </c>
      <c r="B49" s="8" t="s">
        <v>22</v>
      </c>
      <c r="C49" s="2" t="s">
        <v>24</v>
      </c>
      <c r="D49" s="6">
        <v>80</v>
      </c>
      <c r="E49" s="2" t="s">
        <v>5</v>
      </c>
      <c r="F49" s="28" t="s">
        <v>66</v>
      </c>
      <c r="H49" s="8">
        <v>45198</v>
      </c>
      <c r="I49" s="2" t="s">
        <v>3</v>
      </c>
      <c r="J49" s="6">
        <v>12</v>
      </c>
      <c r="K49" s="2" t="s">
        <v>9</v>
      </c>
      <c r="L49" s="7" t="s">
        <v>85</v>
      </c>
    </row>
    <row r="50" spans="1:12" ht="17" x14ac:dyDescent="0.2">
      <c r="A50" s="8">
        <v>45182</v>
      </c>
      <c r="B50" s="8" t="s">
        <v>22</v>
      </c>
      <c r="C50" s="2" t="s">
        <v>25</v>
      </c>
      <c r="D50" s="6">
        <v>232</v>
      </c>
      <c r="E50" s="2" t="s">
        <v>5</v>
      </c>
      <c r="F50" s="28" t="s">
        <v>67</v>
      </c>
      <c r="H50" s="8">
        <v>45198</v>
      </c>
      <c r="I50" s="2" t="s">
        <v>3</v>
      </c>
      <c r="J50" s="6">
        <v>230</v>
      </c>
      <c r="K50" s="2" t="s">
        <v>9</v>
      </c>
      <c r="L50" s="7" t="s">
        <v>86</v>
      </c>
    </row>
    <row r="51" spans="1:12" ht="17" x14ac:dyDescent="0.2">
      <c r="A51" s="8">
        <v>45183</v>
      </c>
      <c r="B51" s="8" t="s">
        <v>22</v>
      </c>
      <c r="C51" s="2" t="s">
        <v>24</v>
      </c>
      <c r="D51" s="6">
        <v>211</v>
      </c>
      <c r="E51" s="2" t="s">
        <v>5</v>
      </c>
      <c r="F51" s="28" t="s">
        <v>68</v>
      </c>
      <c r="H51" s="8">
        <v>45198</v>
      </c>
      <c r="I51" s="2" t="s">
        <v>24</v>
      </c>
      <c r="J51" s="6">
        <v>55</v>
      </c>
      <c r="K51" s="2" t="s">
        <v>9</v>
      </c>
      <c r="L51" s="7" t="s">
        <v>77</v>
      </c>
    </row>
    <row r="52" spans="1:12" ht="17" x14ac:dyDescent="0.2">
      <c r="A52" s="8">
        <v>45186</v>
      </c>
      <c r="B52" s="8" t="s">
        <v>22</v>
      </c>
      <c r="C52" s="2" t="s">
        <v>75</v>
      </c>
      <c r="D52" s="6">
        <v>182</v>
      </c>
      <c r="E52" s="2" t="s">
        <v>5</v>
      </c>
      <c r="F52" s="28" t="s">
        <v>51</v>
      </c>
      <c r="H52" s="8">
        <v>45198</v>
      </c>
      <c r="I52" s="2" t="s">
        <v>24</v>
      </c>
      <c r="J52" s="6">
        <v>30</v>
      </c>
      <c r="K52" s="2" t="s">
        <v>9</v>
      </c>
      <c r="L52" s="7" t="s">
        <v>78</v>
      </c>
    </row>
    <row r="53" spans="1:12" ht="17" x14ac:dyDescent="0.2">
      <c r="A53" s="8">
        <v>45188</v>
      </c>
      <c r="B53" s="8" t="s">
        <v>22</v>
      </c>
      <c r="C53" s="2" t="s">
        <v>24</v>
      </c>
      <c r="D53" s="6">
        <v>210</v>
      </c>
      <c r="E53" s="2" t="s">
        <v>5</v>
      </c>
      <c r="F53" s="28" t="s">
        <v>69</v>
      </c>
      <c r="H53" s="8">
        <v>45198</v>
      </c>
      <c r="I53" s="2" t="s">
        <v>24</v>
      </c>
      <c r="J53" s="6">
        <v>39</v>
      </c>
      <c r="K53" s="2" t="s">
        <v>9</v>
      </c>
      <c r="L53" s="7" t="s">
        <v>66</v>
      </c>
    </row>
    <row r="54" spans="1:12" ht="34" x14ac:dyDescent="0.2">
      <c r="A54" s="8">
        <v>45189</v>
      </c>
      <c r="B54" s="8" t="s">
        <v>22</v>
      </c>
      <c r="C54" s="2" t="s">
        <v>24</v>
      </c>
      <c r="D54" s="6">
        <v>118</v>
      </c>
      <c r="E54" s="2" t="s">
        <v>5</v>
      </c>
      <c r="F54" s="28" t="s">
        <v>70</v>
      </c>
      <c r="H54" s="8">
        <v>45267</v>
      </c>
      <c r="I54" s="2" t="s">
        <v>24</v>
      </c>
      <c r="J54" s="6">
        <v>1120</v>
      </c>
      <c r="K54" s="2" t="s">
        <v>9</v>
      </c>
      <c r="L54" s="7" t="s">
        <v>126</v>
      </c>
    </row>
    <row r="55" spans="1:12" ht="34" x14ac:dyDescent="0.2">
      <c r="A55" s="8">
        <v>45190</v>
      </c>
      <c r="B55" s="8" t="s">
        <v>22</v>
      </c>
      <c r="C55" s="2" t="s">
        <v>3</v>
      </c>
      <c r="D55" s="6">
        <v>55</v>
      </c>
      <c r="E55" s="2" t="s">
        <v>9</v>
      </c>
      <c r="F55" s="28" t="s">
        <v>76</v>
      </c>
      <c r="H55" s="8">
        <v>45267</v>
      </c>
      <c r="I55" s="2" t="s">
        <v>3</v>
      </c>
      <c r="J55" s="6">
        <v>980</v>
      </c>
      <c r="K55" s="2" t="s">
        <v>9</v>
      </c>
      <c r="L55" s="7" t="s">
        <v>128</v>
      </c>
    </row>
    <row r="56" spans="1:12" ht="34" x14ac:dyDescent="0.2">
      <c r="A56" s="8">
        <v>45190</v>
      </c>
      <c r="B56" s="8" t="s">
        <v>22</v>
      </c>
      <c r="C56" s="2" t="s">
        <v>24</v>
      </c>
      <c r="D56" s="6">
        <v>55</v>
      </c>
      <c r="E56" s="2" t="s">
        <v>9</v>
      </c>
      <c r="F56" s="28" t="s">
        <v>77</v>
      </c>
      <c r="H56" s="8">
        <v>45267</v>
      </c>
      <c r="I56" s="2" t="s">
        <v>11</v>
      </c>
      <c r="J56" s="6">
        <v>282</v>
      </c>
      <c r="K56" s="2" t="s">
        <v>9</v>
      </c>
      <c r="L56" s="7" t="s">
        <v>129</v>
      </c>
    </row>
    <row r="57" spans="1:12" ht="34" x14ac:dyDescent="0.2">
      <c r="A57" s="8">
        <v>45191</v>
      </c>
      <c r="B57" s="8" t="s">
        <v>22</v>
      </c>
      <c r="C57" s="2" t="s">
        <v>24</v>
      </c>
      <c r="D57" s="6">
        <v>30</v>
      </c>
      <c r="E57" s="2" t="s">
        <v>9</v>
      </c>
      <c r="F57" s="28" t="s">
        <v>78</v>
      </c>
      <c r="H57" s="8">
        <v>45300</v>
      </c>
      <c r="I57" s="2" t="s">
        <v>24</v>
      </c>
      <c r="J57" s="6">
        <v>1183</v>
      </c>
      <c r="K57" s="2" t="s">
        <v>9</v>
      </c>
      <c r="L57" s="7" t="s">
        <v>139</v>
      </c>
    </row>
    <row r="58" spans="1:12" ht="34" x14ac:dyDescent="0.2">
      <c r="A58" s="8">
        <v>45193</v>
      </c>
      <c r="B58" s="8" t="s">
        <v>22</v>
      </c>
      <c r="C58" s="2" t="s">
        <v>24</v>
      </c>
      <c r="D58" s="6">
        <v>39</v>
      </c>
      <c r="E58" s="2" t="s">
        <v>9</v>
      </c>
      <c r="F58" s="28" t="s">
        <v>66</v>
      </c>
      <c r="H58" s="8">
        <v>45300</v>
      </c>
      <c r="I58" s="2" t="s">
        <v>3</v>
      </c>
      <c r="J58" s="6">
        <v>456</v>
      </c>
      <c r="K58" s="2" t="s">
        <v>9</v>
      </c>
      <c r="L58" s="7" t="s">
        <v>140</v>
      </c>
    </row>
    <row r="59" spans="1:12" ht="34" x14ac:dyDescent="0.2">
      <c r="A59" s="8">
        <v>45196</v>
      </c>
      <c r="B59" s="8" t="s">
        <v>22</v>
      </c>
      <c r="C59" s="2" t="s">
        <v>25</v>
      </c>
      <c r="D59" s="6">
        <v>160</v>
      </c>
      <c r="E59" s="2" t="s">
        <v>5</v>
      </c>
      <c r="F59" s="28" t="s">
        <v>79</v>
      </c>
      <c r="H59" s="8">
        <v>45314</v>
      </c>
      <c r="I59" s="2" t="s">
        <v>24</v>
      </c>
      <c r="J59" s="6">
        <v>378</v>
      </c>
      <c r="K59" s="2" t="s">
        <v>9</v>
      </c>
      <c r="L59" s="7" t="s">
        <v>146</v>
      </c>
    </row>
    <row r="60" spans="1:12" ht="34" x14ac:dyDescent="0.2">
      <c r="A60" s="8">
        <v>45196</v>
      </c>
      <c r="B60" s="8" t="s">
        <v>22</v>
      </c>
      <c r="C60" s="2" t="s">
        <v>3</v>
      </c>
      <c r="D60" s="6">
        <v>240</v>
      </c>
      <c r="E60" s="2" t="s">
        <v>104</v>
      </c>
      <c r="F60" s="28" t="s">
        <v>79</v>
      </c>
      <c r="H60" s="8">
        <v>45314</v>
      </c>
      <c r="I60" s="2" t="s">
        <v>106</v>
      </c>
      <c r="J60" s="6">
        <v>379</v>
      </c>
      <c r="K60" s="2" t="s">
        <v>9</v>
      </c>
      <c r="L60" s="7" t="s">
        <v>147</v>
      </c>
    </row>
    <row r="61" spans="1:12" ht="17" x14ac:dyDescent="0.2">
      <c r="A61" s="8">
        <v>45197</v>
      </c>
      <c r="B61" s="8" t="s">
        <v>22</v>
      </c>
      <c r="C61" s="2" t="s">
        <v>3</v>
      </c>
      <c r="D61" s="6">
        <v>80</v>
      </c>
      <c r="E61" s="2" t="s">
        <v>104</v>
      </c>
      <c r="F61" s="28" t="s">
        <v>32</v>
      </c>
      <c r="H61" s="8">
        <v>45318</v>
      </c>
      <c r="I61" s="2" t="s">
        <v>36</v>
      </c>
      <c r="J61" s="6">
        <v>150</v>
      </c>
      <c r="K61" s="2" t="s">
        <v>9</v>
      </c>
      <c r="L61" s="7" t="s">
        <v>151</v>
      </c>
    </row>
    <row r="62" spans="1:12" ht="17" x14ac:dyDescent="0.2">
      <c r="A62" s="8">
        <v>45197</v>
      </c>
      <c r="B62" s="8" t="s">
        <v>22</v>
      </c>
      <c r="C62" s="2" t="s">
        <v>3</v>
      </c>
      <c r="D62" s="6">
        <v>96</v>
      </c>
      <c r="E62" s="2" t="s">
        <v>104</v>
      </c>
      <c r="F62" s="28" t="s">
        <v>92</v>
      </c>
      <c r="H62" s="8">
        <v>45329</v>
      </c>
      <c r="I62" s="2" t="s">
        <v>106</v>
      </c>
      <c r="J62" s="6">
        <v>344</v>
      </c>
      <c r="K62" s="2" t="s">
        <v>9</v>
      </c>
      <c r="L62" s="7" t="s">
        <v>160</v>
      </c>
    </row>
    <row r="63" spans="1:12" ht="17" x14ac:dyDescent="0.2">
      <c r="A63" s="8">
        <v>45208</v>
      </c>
      <c r="B63" s="8" t="s">
        <v>22</v>
      </c>
      <c r="C63" s="2" t="s">
        <v>3</v>
      </c>
      <c r="D63" s="6">
        <v>107</v>
      </c>
      <c r="E63" s="2" t="s">
        <v>104</v>
      </c>
      <c r="F63" s="28" t="s">
        <v>93</v>
      </c>
    </row>
    <row r="64" spans="1:12" ht="17" x14ac:dyDescent="0.2">
      <c r="A64" s="8">
        <v>45208</v>
      </c>
      <c r="B64" s="8" t="s">
        <v>22</v>
      </c>
      <c r="C64" s="2" t="s">
        <v>24</v>
      </c>
      <c r="D64" s="6">
        <v>107</v>
      </c>
      <c r="E64" s="2" t="s">
        <v>9</v>
      </c>
      <c r="F64" s="28" t="s">
        <v>93</v>
      </c>
    </row>
    <row r="65" spans="1:6" ht="17" x14ac:dyDescent="0.2">
      <c r="A65" s="8">
        <v>45209</v>
      </c>
      <c r="B65" s="8" t="s">
        <v>22</v>
      </c>
      <c r="C65" s="2" t="s">
        <v>3</v>
      </c>
      <c r="D65" s="6">
        <v>25</v>
      </c>
      <c r="E65" s="2" t="s">
        <v>104</v>
      </c>
      <c r="F65" s="28" t="s">
        <v>95</v>
      </c>
    </row>
    <row r="66" spans="1:6" ht="17" x14ac:dyDescent="0.2">
      <c r="A66" s="8">
        <v>45209</v>
      </c>
      <c r="B66" s="8" t="s">
        <v>22</v>
      </c>
      <c r="C66" s="2" t="s">
        <v>3</v>
      </c>
      <c r="D66" s="6">
        <v>20</v>
      </c>
      <c r="E66" s="2" t="s">
        <v>104</v>
      </c>
      <c r="F66" s="28" t="s">
        <v>94</v>
      </c>
    </row>
    <row r="67" spans="1:6" ht="17" x14ac:dyDescent="0.2">
      <c r="A67" s="8">
        <v>45211</v>
      </c>
      <c r="B67" s="8" t="s">
        <v>22</v>
      </c>
      <c r="C67" s="2" t="s">
        <v>3</v>
      </c>
      <c r="D67" s="6">
        <v>122</v>
      </c>
      <c r="E67" s="2" t="s">
        <v>9</v>
      </c>
      <c r="F67" s="28" t="s">
        <v>97</v>
      </c>
    </row>
    <row r="68" spans="1:6" ht="17" x14ac:dyDescent="0.2">
      <c r="A68" s="8">
        <v>45211</v>
      </c>
      <c r="B68" s="8" t="s">
        <v>22</v>
      </c>
      <c r="C68" s="2" t="s">
        <v>11</v>
      </c>
      <c r="D68" s="6">
        <v>122</v>
      </c>
      <c r="E68" s="2" t="s">
        <v>104</v>
      </c>
      <c r="F68" s="28" t="s">
        <v>97</v>
      </c>
    </row>
    <row r="69" spans="1:6" ht="17" x14ac:dyDescent="0.2">
      <c r="A69" s="8">
        <v>45215</v>
      </c>
      <c r="B69" s="8" t="s">
        <v>22</v>
      </c>
      <c r="C69" s="2" t="s">
        <v>11</v>
      </c>
      <c r="D69" s="6">
        <v>129</v>
      </c>
      <c r="E69" s="2" t="s">
        <v>104</v>
      </c>
      <c r="F69" s="28" t="s">
        <v>96</v>
      </c>
    </row>
    <row r="70" spans="1:6" ht="17" x14ac:dyDescent="0.2">
      <c r="A70" s="8">
        <v>45216</v>
      </c>
      <c r="B70" s="8" t="s">
        <v>22</v>
      </c>
      <c r="C70" s="2" t="s">
        <v>24</v>
      </c>
      <c r="D70" s="6">
        <v>110</v>
      </c>
      <c r="E70" s="2" t="s">
        <v>9</v>
      </c>
      <c r="F70" s="28" t="s">
        <v>98</v>
      </c>
    </row>
    <row r="71" spans="1:6" ht="17" x14ac:dyDescent="0.2">
      <c r="A71" s="8">
        <v>45216</v>
      </c>
      <c r="B71" s="8" t="s">
        <v>22</v>
      </c>
      <c r="C71" s="2" t="s">
        <v>24</v>
      </c>
      <c r="D71" s="6">
        <v>95</v>
      </c>
      <c r="E71" s="2" t="s">
        <v>9</v>
      </c>
      <c r="F71" s="28" t="s">
        <v>99</v>
      </c>
    </row>
    <row r="72" spans="1:6" ht="17" x14ac:dyDescent="0.2">
      <c r="A72" s="8">
        <v>45216</v>
      </c>
      <c r="B72" s="8" t="s">
        <v>22</v>
      </c>
      <c r="C72" s="2" t="s">
        <v>3</v>
      </c>
      <c r="D72" s="6">
        <v>95</v>
      </c>
      <c r="E72" s="2" t="s">
        <v>104</v>
      </c>
      <c r="F72" s="28" t="s">
        <v>99</v>
      </c>
    </row>
    <row r="73" spans="1:6" ht="17" x14ac:dyDescent="0.2">
      <c r="A73" s="8">
        <v>45217</v>
      </c>
      <c r="B73" s="8" t="s">
        <v>22</v>
      </c>
      <c r="C73" s="2" t="s">
        <v>3</v>
      </c>
      <c r="D73" s="6">
        <v>170</v>
      </c>
      <c r="E73" s="2" t="s">
        <v>104</v>
      </c>
      <c r="F73" s="28" t="s">
        <v>100</v>
      </c>
    </row>
    <row r="74" spans="1:6" ht="17" x14ac:dyDescent="0.2">
      <c r="A74" s="8">
        <v>45217</v>
      </c>
      <c r="B74" s="8" t="s">
        <v>22</v>
      </c>
      <c r="C74" s="2" t="s">
        <v>24</v>
      </c>
      <c r="D74" s="6">
        <v>70</v>
      </c>
      <c r="E74" s="2" t="s">
        <v>9</v>
      </c>
      <c r="F74" s="28" t="s">
        <v>101</v>
      </c>
    </row>
    <row r="75" spans="1:6" ht="17" x14ac:dyDescent="0.2">
      <c r="A75" s="8">
        <v>45217</v>
      </c>
      <c r="B75" s="8" t="s">
        <v>22</v>
      </c>
      <c r="C75" s="2" t="s">
        <v>3</v>
      </c>
      <c r="D75" s="6">
        <v>35</v>
      </c>
      <c r="E75" s="2" t="s">
        <v>104</v>
      </c>
      <c r="F75" s="28" t="s">
        <v>101</v>
      </c>
    </row>
    <row r="76" spans="1:6" ht="17" x14ac:dyDescent="0.2">
      <c r="A76" s="8">
        <v>45218</v>
      </c>
      <c r="B76" s="8" t="s">
        <v>22</v>
      </c>
      <c r="C76" s="2" t="s">
        <v>24</v>
      </c>
      <c r="D76" s="6">
        <v>114</v>
      </c>
      <c r="E76" s="2" t="s">
        <v>9</v>
      </c>
      <c r="F76" s="28" t="s">
        <v>102</v>
      </c>
    </row>
    <row r="77" spans="1:6" ht="17" x14ac:dyDescent="0.2">
      <c r="A77" s="8">
        <v>45219</v>
      </c>
      <c r="B77" s="8" t="s">
        <v>22</v>
      </c>
      <c r="C77" s="2" t="s">
        <v>24</v>
      </c>
      <c r="D77" s="6">
        <v>186</v>
      </c>
      <c r="E77" s="2" t="s">
        <v>9</v>
      </c>
      <c r="F77" s="28" t="s">
        <v>103</v>
      </c>
    </row>
    <row r="78" spans="1:6" ht="17" x14ac:dyDescent="0.2">
      <c r="A78" s="8">
        <v>45219</v>
      </c>
      <c r="B78" s="8" t="s">
        <v>22</v>
      </c>
      <c r="C78" s="2" t="s">
        <v>3</v>
      </c>
      <c r="D78" s="6">
        <v>186</v>
      </c>
      <c r="E78" s="2" t="s">
        <v>104</v>
      </c>
      <c r="F78" s="28" t="s">
        <v>103</v>
      </c>
    </row>
    <row r="79" spans="1:6" ht="17" x14ac:dyDescent="0.2">
      <c r="A79" s="8">
        <v>45225</v>
      </c>
      <c r="B79" s="8" t="s">
        <v>22</v>
      </c>
      <c r="C79" s="2" t="s">
        <v>25</v>
      </c>
      <c r="D79" s="6">
        <v>749</v>
      </c>
      <c r="E79" s="2" t="s">
        <v>104</v>
      </c>
      <c r="F79" s="28" t="s">
        <v>107</v>
      </c>
    </row>
    <row r="80" spans="1:6" ht="17" x14ac:dyDescent="0.2">
      <c r="A80" s="8">
        <v>45225</v>
      </c>
      <c r="B80" s="8" t="s">
        <v>22</v>
      </c>
      <c r="C80" s="2" t="s">
        <v>106</v>
      </c>
      <c r="D80" s="6">
        <v>749</v>
      </c>
      <c r="E80" s="2" t="s">
        <v>104</v>
      </c>
      <c r="F80" s="28" t="s">
        <v>107</v>
      </c>
    </row>
    <row r="81" spans="1:6" ht="17" x14ac:dyDescent="0.2">
      <c r="A81" s="8">
        <v>45225</v>
      </c>
      <c r="B81" s="8" t="s">
        <v>22</v>
      </c>
      <c r="C81" s="2" t="s">
        <v>3</v>
      </c>
      <c r="D81" s="6">
        <v>200</v>
      </c>
      <c r="E81" s="2" t="s">
        <v>104</v>
      </c>
      <c r="F81" s="28" t="s">
        <v>107</v>
      </c>
    </row>
    <row r="82" spans="1:6" ht="17" x14ac:dyDescent="0.2">
      <c r="A82" s="8">
        <v>45226</v>
      </c>
      <c r="B82" s="8" t="s">
        <v>22</v>
      </c>
      <c r="C82" s="2" t="s">
        <v>11</v>
      </c>
      <c r="D82" s="6">
        <v>130</v>
      </c>
      <c r="E82" s="2" t="s">
        <v>104</v>
      </c>
      <c r="F82" s="28" t="s">
        <v>105</v>
      </c>
    </row>
    <row r="83" spans="1:6" ht="17" x14ac:dyDescent="0.2">
      <c r="A83" s="8">
        <v>45226</v>
      </c>
      <c r="B83" s="8" t="s">
        <v>22</v>
      </c>
      <c r="C83" s="2" t="s">
        <v>25</v>
      </c>
      <c r="D83" s="6">
        <v>130</v>
      </c>
      <c r="E83" s="2" t="s">
        <v>104</v>
      </c>
      <c r="F83" s="28" t="s">
        <v>105</v>
      </c>
    </row>
    <row r="84" spans="1:6" ht="17" x14ac:dyDescent="0.2">
      <c r="A84" s="8">
        <v>45229</v>
      </c>
      <c r="B84" s="8" t="s">
        <v>22</v>
      </c>
      <c r="C84" s="2" t="s">
        <v>24</v>
      </c>
      <c r="D84" s="6">
        <v>137.80000000000001</v>
      </c>
      <c r="E84" s="2" t="s">
        <v>104</v>
      </c>
      <c r="F84" s="28" t="s">
        <v>109</v>
      </c>
    </row>
    <row r="85" spans="1:6" ht="17" x14ac:dyDescent="0.2">
      <c r="A85" s="8">
        <v>45230</v>
      </c>
      <c r="B85" s="8" t="s">
        <v>22</v>
      </c>
      <c r="C85" s="2" t="s">
        <v>3</v>
      </c>
      <c r="D85" s="6">
        <v>30</v>
      </c>
      <c r="E85" s="2" t="s">
        <v>9</v>
      </c>
      <c r="F85" s="28" t="s">
        <v>108</v>
      </c>
    </row>
    <row r="86" spans="1:6" ht="17" x14ac:dyDescent="0.2">
      <c r="A86" s="8">
        <v>45250</v>
      </c>
      <c r="B86" s="8" t="s">
        <v>22</v>
      </c>
      <c r="C86" s="2" t="s">
        <v>24</v>
      </c>
      <c r="D86" s="6">
        <v>50</v>
      </c>
      <c r="E86" s="2" t="s">
        <v>9</v>
      </c>
      <c r="F86" s="28" t="s">
        <v>111</v>
      </c>
    </row>
    <row r="87" spans="1:6" ht="17" x14ac:dyDescent="0.2">
      <c r="A87" s="8">
        <v>45250</v>
      </c>
      <c r="B87" s="8" t="s">
        <v>22</v>
      </c>
      <c r="C87" s="2" t="s">
        <v>24</v>
      </c>
      <c r="D87" s="6">
        <v>122.5</v>
      </c>
      <c r="E87" s="2" t="s">
        <v>9</v>
      </c>
      <c r="F87" s="28" t="s">
        <v>110</v>
      </c>
    </row>
    <row r="88" spans="1:6" ht="17" x14ac:dyDescent="0.2">
      <c r="A88" s="8">
        <v>45250</v>
      </c>
      <c r="B88" s="8" t="s">
        <v>22</v>
      </c>
      <c r="C88" s="2" t="s">
        <v>3</v>
      </c>
      <c r="D88" s="6">
        <v>122.5</v>
      </c>
      <c r="E88" s="2" t="s">
        <v>9</v>
      </c>
      <c r="F88" s="28" t="s">
        <v>110</v>
      </c>
    </row>
    <row r="89" spans="1:6" ht="17" x14ac:dyDescent="0.2">
      <c r="A89" s="8">
        <v>45251</v>
      </c>
      <c r="B89" s="8" t="s">
        <v>22</v>
      </c>
      <c r="C89" s="2" t="s">
        <v>3</v>
      </c>
      <c r="D89" s="6">
        <v>98</v>
      </c>
      <c r="E89" s="2" t="s">
        <v>9</v>
      </c>
      <c r="F89" s="28" t="s">
        <v>112</v>
      </c>
    </row>
    <row r="90" spans="1:6" ht="17" x14ac:dyDescent="0.2">
      <c r="A90" s="8">
        <v>45251</v>
      </c>
      <c r="B90" s="8" t="s">
        <v>22</v>
      </c>
      <c r="C90" s="2" t="s">
        <v>3</v>
      </c>
      <c r="D90" s="6">
        <v>20</v>
      </c>
      <c r="E90" s="2" t="s">
        <v>9</v>
      </c>
      <c r="F90" s="28" t="s">
        <v>113</v>
      </c>
    </row>
    <row r="91" spans="1:6" ht="17" x14ac:dyDescent="0.2">
      <c r="A91" s="8">
        <v>45251</v>
      </c>
      <c r="B91" s="8" t="s">
        <v>22</v>
      </c>
      <c r="C91" s="2" t="s">
        <v>24</v>
      </c>
      <c r="D91" s="6">
        <v>50</v>
      </c>
      <c r="E91" s="2" t="s">
        <v>9</v>
      </c>
      <c r="F91" s="28" t="s">
        <v>114</v>
      </c>
    </row>
    <row r="92" spans="1:6" ht="17" x14ac:dyDescent="0.2">
      <c r="A92" s="13">
        <v>45252</v>
      </c>
      <c r="B92" s="25" t="s">
        <v>22</v>
      </c>
      <c r="C92" s="14" t="s">
        <v>25</v>
      </c>
      <c r="D92" s="15">
        <v>1954</v>
      </c>
      <c r="E92" s="14" t="s">
        <v>5</v>
      </c>
      <c r="F92" s="29" t="s">
        <v>124</v>
      </c>
    </row>
    <row r="93" spans="1:6" ht="17" x14ac:dyDescent="0.2">
      <c r="A93" s="8">
        <v>45252</v>
      </c>
      <c r="B93" s="8" t="s">
        <v>22</v>
      </c>
      <c r="C93" s="2" t="s">
        <v>24</v>
      </c>
      <c r="D93" s="6">
        <v>40</v>
      </c>
      <c r="E93" s="2" t="s">
        <v>9</v>
      </c>
      <c r="F93" s="28" t="s">
        <v>114</v>
      </c>
    </row>
    <row r="94" spans="1:6" ht="17" x14ac:dyDescent="0.2">
      <c r="A94" s="8">
        <v>45252</v>
      </c>
      <c r="B94" s="8" t="s">
        <v>22</v>
      </c>
      <c r="C94" s="2" t="s">
        <v>3</v>
      </c>
      <c r="D94" s="6">
        <v>20</v>
      </c>
      <c r="E94" s="2" t="s">
        <v>9</v>
      </c>
      <c r="F94" s="28" t="s">
        <v>113</v>
      </c>
    </row>
    <row r="95" spans="1:6" ht="17" x14ac:dyDescent="0.2">
      <c r="A95" s="13">
        <v>45253</v>
      </c>
      <c r="B95" s="25" t="s">
        <v>22</v>
      </c>
      <c r="C95" s="14" t="s">
        <v>25</v>
      </c>
      <c r="D95" s="15">
        <v>110</v>
      </c>
      <c r="E95" s="14" t="s">
        <v>9</v>
      </c>
      <c r="F95" s="29" t="s">
        <v>115</v>
      </c>
    </row>
    <row r="96" spans="1:6" ht="17" x14ac:dyDescent="0.2">
      <c r="A96" s="8">
        <v>45253</v>
      </c>
      <c r="B96" s="8" t="s">
        <v>22</v>
      </c>
      <c r="C96" s="2" t="s">
        <v>24</v>
      </c>
      <c r="D96" s="6">
        <v>50</v>
      </c>
      <c r="E96" s="2" t="s">
        <v>9</v>
      </c>
      <c r="F96" s="28" t="s">
        <v>78</v>
      </c>
    </row>
    <row r="97" spans="1:6" ht="17" x14ac:dyDescent="0.2">
      <c r="A97" s="8">
        <v>45253</v>
      </c>
      <c r="B97" s="8" t="s">
        <v>22</v>
      </c>
      <c r="C97" s="2" t="s">
        <v>24</v>
      </c>
      <c r="D97" s="6">
        <v>110</v>
      </c>
      <c r="E97" s="2" t="s">
        <v>9</v>
      </c>
      <c r="F97" s="28" t="s">
        <v>115</v>
      </c>
    </row>
    <row r="98" spans="1:6" ht="17" x14ac:dyDescent="0.2">
      <c r="A98" s="8">
        <v>45253</v>
      </c>
      <c r="B98" s="8" t="s">
        <v>22</v>
      </c>
      <c r="C98" s="2" t="s">
        <v>3</v>
      </c>
      <c r="D98" s="6">
        <v>110</v>
      </c>
      <c r="E98" s="2" t="s">
        <v>9</v>
      </c>
      <c r="F98" s="28" t="s">
        <v>115</v>
      </c>
    </row>
    <row r="99" spans="1:6" ht="17" x14ac:dyDescent="0.2">
      <c r="A99" s="8">
        <v>45253</v>
      </c>
      <c r="B99" s="8" t="s">
        <v>22</v>
      </c>
      <c r="C99" s="2" t="s">
        <v>24</v>
      </c>
      <c r="D99" s="6">
        <v>35</v>
      </c>
      <c r="E99" s="2" t="s">
        <v>9</v>
      </c>
      <c r="F99" s="28" t="s">
        <v>116</v>
      </c>
    </row>
    <row r="100" spans="1:6" ht="17" x14ac:dyDescent="0.2">
      <c r="A100" s="8">
        <v>45253</v>
      </c>
      <c r="B100" s="8" t="s">
        <v>22</v>
      </c>
      <c r="C100" s="2" t="s">
        <v>25</v>
      </c>
      <c r="D100" s="6">
        <v>19</v>
      </c>
      <c r="E100" s="2" t="s">
        <v>9</v>
      </c>
      <c r="F100" s="28" t="s">
        <v>116</v>
      </c>
    </row>
    <row r="101" spans="1:6" ht="17" x14ac:dyDescent="0.2">
      <c r="A101" s="8">
        <v>45253</v>
      </c>
      <c r="B101" s="8" t="s">
        <v>22</v>
      </c>
      <c r="C101" s="2" t="s">
        <v>3</v>
      </c>
      <c r="D101" s="6">
        <v>170</v>
      </c>
      <c r="E101" s="2" t="s">
        <v>9</v>
      </c>
      <c r="F101" s="28" t="s">
        <v>116</v>
      </c>
    </row>
    <row r="102" spans="1:6" ht="17" x14ac:dyDescent="0.2">
      <c r="A102" s="8">
        <v>45253</v>
      </c>
      <c r="B102" s="8" t="s">
        <v>22</v>
      </c>
      <c r="C102" s="2" t="s">
        <v>24</v>
      </c>
      <c r="D102" s="6">
        <v>34</v>
      </c>
      <c r="E102" s="2" t="s">
        <v>5</v>
      </c>
      <c r="F102" s="28" t="s">
        <v>117</v>
      </c>
    </row>
    <row r="103" spans="1:6" ht="17" x14ac:dyDescent="0.2">
      <c r="A103" s="8">
        <v>45253</v>
      </c>
      <c r="B103" s="8" t="s">
        <v>22</v>
      </c>
      <c r="C103" s="2" t="s">
        <v>11</v>
      </c>
      <c r="D103" s="6">
        <v>34</v>
      </c>
      <c r="E103" s="2" t="s">
        <v>5</v>
      </c>
      <c r="F103" s="28" t="s">
        <v>117</v>
      </c>
    </row>
    <row r="104" spans="1:6" ht="17" x14ac:dyDescent="0.2">
      <c r="A104" s="8">
        <v>45254</v>
      </c>
      <c r="B104" s="8" t="s">
        <v>22</v>
      </c>
      <c r="C104" s="2" t="s">
        <v>24</v>
      </c>
      <c r="D104" s="6">
        <v>-48</v>
      </c>
      <c r="E104" s="2" t="s">
        <v>9</v>
      </c>
      <c r="F104" s="28" t="s">
        <v>118</v>
      </c>
    </row>
    <row r="105" spans="1:6" ht="17" x14ac:dyDescent="0.2">
      <c r="A105" s="8">
        <v>45258</v>
      </c>
      <c r="B105" s="8" t="s">
        <v>22</v>
      </c>
      <c r="C105" s="2" t="s">
        <v>3</v>
      </c>
      <c r="D105" s="6">
        <v>184</v>
      </c>
      <c r="E105" s="2" t="s">
        <v>9</v>
      </c>
      <c r="F105" s="28" t="s">
        <v>69</v>
      </c>
    </row>
    <row r="106" spans="1:6" ht="17" x14ac:dyDescent="0.2">
      <c r="A106" s="8">
        <v>45258</v>
      </c>
      <c r="B106" s="8" t="s">
        <v>22</v>
      </c>
      <c r="C106" s="2" t="s">
        <v>3</v>
      </c>
      <c r="D106" s="6">
        <v>150</v>
      </c>
      <c r="E106" s="2" t="s">
        <v>9</v>
      </c>
      <c r="F106" s="28" t="s">
        <v>114</v>
      </c>
    </row>
    <row r="107" spans="1:6" ht="17" x14ac:dyDescent="0.2">
      <c r="A107" s="8">
        <v>45259</v>
      </c>
      <c r="B107" s="8" t="s">
        <v>22</v>
      </c>
      <c r="C107" s="2" t="s">
        <v>3</v>
      </c>
      <c r="D107" s="6">
        <v>102</v>
      </c>
      <c r="E107" s="2" t="s">
        <v>9</v>
      </c>
      <c r="F107" s="28" t="s">
        <v>119</v>
      </c>
    </row>
    <row r="108" spans="1:6" ht="17" x14ac:dyDescent="0.2">
      <c r="A108" s="8">
        <v>45261</v>
      </c>
      <c r="B108" s="8" t="s">
        <v>22</v>
      </c>
      <c r="C108" s="2" t="s">
        <v>3</v>
      </c>
      <c r="D108" s="6">
        <v>-120</v>
      </c>
      <c r="E108" s="2" t="s">
        <v>9</v>
      </c>
      <c r="F108" s="28" t="s">
        <v>120</v>
      </c>
    </row>
    <row r="109" spans="1:6" ht="17" x14ac:dyDescent="0.2">
      <c r="A109" s="13">
        <v>45262</v>
      </c>
      <c r="B109" s="25" t="s">
        <v>22</v>
      </c>
      <c r="C109" s="14" t="s">
        <v>25</v>
      </c>
      <c r="D109" s="15">
        <v>114</v>
      </c>
      <c r="E109" s="14" t="s">
        <v>9</v>
      </c>
      <c r="F109" s="29" t="s">
        <v>115</v>
      </c>
    </row>
    <row r="110" spans="1:6" ht="17" x14ac:dyDescent="0.2">
      <c r="A110" s="8">
        <v>45262</v>
      </c>
      <c r="B110" s="8" t="s">
        <v>22</v>
      </c>
      <c r="C110" s="2" t="s">
        <v>11</v>
      </c>
      <c r="D110" s="6">
        <v>114</v>
      </c>
      <c r="E110" s="2" t="s">
        <v>9</v>
      </c>
      <c r="F110" s="28" t="s">
        <v>115</v>
      </c>
    </row>
    <row r="111" spans="1:6" ht="17" x14ac:dyDescent="0.2">
      <c r="A111" s="8">
        <v>45262</v>
      </c>
      <c r="B111" s="8" t="s">
        <v>22</v>
      </c>
      <c r="C111" s="2" t="s">
        <v>24</v>
      </c>
      <c r="D111" s="6">
        <v>105</v>
      </c>
      <c r="E111" s="2" t="s">
        <v>9</v>
      </c>
      <c r="F111" s="28" t="s">
        <v>26</v>
      </c>
    </row>
    <row r="112" spans="1:6" ht="17" x14ac:dyDescent="0.2">
      <c r="A112" s="8">
        <v>45263</v>
      </c>
      <c r="B112" s="8" t="s">
        <v>22</v>
      </c>
      <c r="C112" s="2" t="s">
        <v>24</v>
      </c>
      <c r="D112" s="6">
        <v>159</v>
      </c>
      <c r="E112" s="2" t="s">
        <v>9</v>
      </c>
      <c r="F112" s="28" t="s">
        <v>121</v>
      </c>
    </row>
    <row r="113" spans="1:7" ht="17" x14ac:dyDescent="0.2">
      <c r="A113" s="13">
        <v>45264</v>
      </c>
      <c r="B113" s="25" t="s">
        <v>22</v>
      </c>
      <c r="C113" s="14" t="s">
        <v>25</v>
      </c>
      <c r="D113" s="15">
        <v>125</v>
      </c>
      <c r="E113" s="14" t="s">
        <v>9</v>
      </c>
      <c r="F113" s="29" t="s">
        <v>122</v>
      </c>
    </row>
    <row r="114" spans="1:7" ht="17" x14ac:dyDescent="0.2">
      <c r="A114" s="8">
        <v>45264</v>
      </c>
      <c r="B114" s="8" t="s">
        <v>22</v>
      </c>
      <c r="C114" s="2" t="s">
        <v>24</v>
      </c>
      <c r="D114" s="6">
        <v>125</v>
      </c>
      <c r="E114" s="2" t="s">
        <v>9</v>
      </c>
      <c r="F114" s="28" t="s">
        <v>122</v>
      </c>
    </row>
    <row r="115" spans="1:7" ht="34" x14ac:dyDescent="0.2">
      <c r="A115" s="8">
        <v>45264</v>
      </c>
      <c r="B115" s="8" t="s">
        <v>22</v>
      </c>
      <c r="C115" s="2" t="s">
        <v>24</v>
      </c>
      <c r="D115" s="6">
        <v>110</v>
      </c>
      <c r="E115" s="2" t="s">
        <v>9</v>
      </c>
      <c r="F115" s="28" t="s">
        <v>123</v>
      </c>
    </row>
    <row r="116" spans="1:7" ht="17" x14ac:dyDescent="0.2">
      <c r="A116" s="8">
        <v>45265</v>
      </c>
      <c r="B116" s="8" t="s">
        <v>22</v>
      </c>
      <c r="C116" s="2" t="s">
        <v>11</v>
      </c>
      <c r="D116" s="6">
        <v>134</v>
      </c>
      <c r="E116" s="2" t="s">
        <v>9</v>
      </c>
      <c r="F116" s="28" t="s">
        <v>115</v>
      </c>
    </row>
    <row r="117" spans="1:7" ht="17" x14ac:dyDescent="0.2">
      <c r="A117" s="8">
        <v>45265</v>
      </c>
      <c r="B117" s="8" t="s">
        <v>22</v>
      </c>
      <c r="C117" s="2" t="s">
        <v>127</v>
      </c>
      <c r="D117" s="6">
        <v>135</v>
      </c>
      <c r="E117" s="2" t="s">
        <v>9</v>
      </c>
      <c r="F117" s="28" t="s">
        <v>115</v>
      </c>
    </row>
    <row r="118" spans="1:7" ht="17" x14ac:dyDescent="0.2">
      <c r="A118" s="8">
        <v>45266</v>
      </c>
      <c r="B118" s="8" t="s">
        <v>22</v>
      </c>
      <c r="C118" s="2" t="s">
        <v>24</v>
      </c>
      <c r="D118" s="6">
        <v>128</v>
      </c>
      <c r="E118" s="2" t="s">
        <v>9</v>
      </c>
      <c r="F118" s="28" t="s">
        <v>125</v>
      </c>
    </row>
    <row r="119" spans="1:7" ht="17" x14ac:dyDescent="0.2">
      <c r="A119" s="8">
        <v>45269</v>
      </c>
      <c r="B119" s="8" t="s">
        <v>22</v>
      </c>
      <c r="C119" s="2" t="s">
        <v>24</v>
      </c>
      <c r="D119" s="6">
        <v>142.25</v>
      </c>
      <c r="E119" s="2" t="s">
        <v>9</v>
      </c>
      <c r="F119" s="28" t="s">
        <v>130</v>
      </c>
    </row>
    <row r="120" spans="1:7" ht="17" x14ac:dyDescent="0.2">
      <c r="A120" s="8">
        <v>45269</v>
      </c>
      <c r="B120" s="8" t="s">
        <v>22</v>
      </c>
      <c r="C120" s="2" t="s">
        <v>24</v>
      </c>
      <c r="D120" s="6">
        <v>168</v>
      </c>
      <c r="E120" s="2" t="s">
        <v>9</v>
      </c>
      <c r="F120" s="28" t="s">
        <v>26</v>
      </c>
    </row>
    <row r="121" spans="1:7" ht="17" x14ac:dyDescent="0.2">
      <c r="A121" s="8">
        <v>45270</v>
      </c>
      <c r="B121" s="8" t="s">
        <v>22</v>
      </c>
      <c r="C121" s="2" t="s">
        <v>24</v>
      </c>
      <c r="D121" s="6">
        <v>145.5</v>
      </c>
      <c r="E121" s="2" t="s">
        <v>9</v>
      </c>
      <c r="F121" s="28" t="s">
        <v>26</v>
      </c>
      <c r="G121" s="2" t="s">
        <v>131</v>
      </c>
    </row>
    <row r="122" spans="1:7" ht="17" x14ac:dyDescent="0.2">
      <c r="A122" s="8">
        <v>45271</v>
      </c>
      <c r="B122" s="8" t="s">
        <v>22</v>
      </c>
      <c r="C122" s="2" t="s">
        <v>24</v>
      </c>
      <c r="D122" s="6">
        <v>130</v>
      </c>
      <c r="E122" s="2" t="s">
        <v>9</v>
      </c>
      <c r="F122" s="28" t="s">
        <v>115</v>
      </c>
    </row>
    <row r="123" spans="1:7" ht="17" x14ac:dyDescent="0.2">
      <c r="A123" s="8">
        <v>45271</v>
      </c>
      <c r="B123" s="8" t="s">
        <v>22</v>
      </c>
      <c r="C123" s="2" t="s">
        <v>3</v>
      </c>
      <c r="D123" s="6">
        <v>130</v>
      </c>
      <c r="E123" s="2" t="s">
        <v>9</v>
      </c>
      <c r="F123" s="28" t="s">
        <v>115</v>
      </c>
    </row>
    <row r="124" spans="1:7" ht="17" x14ac:dyDescent="0.2">
      <c r="A124" s="10">
        <v>45272</v>
      </c>
      <c r="B124" s="25" t="s">
        <v>22</v>
      </c>
      <c r="C124" s="11" t="s">
        <v>63</v>
      </c>
      <c r="D124" s="12">
        <v>141</v>
      </c>
      <c r="E124" s="11" t="s">
        <v>9</v>
      </c>
      <c r="F124" s="30" t="s">
        <v>29</v>
      </c>
    </row>
    <row r="125" spans="1:7" ht="17" x14ac:dyDescent="0.2">
      <c r="A125" s="8">
        <v>45272</v>
      </c>
      <c r="B125" s="8" t="s">
        <v>22</v>
      </c>
      <c r="C125" s="2" t="s">
        <v>106</v>
      </c>
      <c r="D125" s="6">
        <v>686</v>
      </c>
      <c r="E125" s="2" t="s">
        <v>9</v>
      </c>
      <c r="F125" s="28" t="s">
        <v>132</v>
      </c>
    </row>
    <row r="126" spans="1:7" ht="17" x14ac:dyDescent="0.2">
      <c r="A126" s="16">
        <v>45290</v>
      </c>
      <c r="B126" s="25" t="s">
        <v>22</v>
      </c>
      <c r="C126" s="17" t="s">
        <v>24</v>
      </c>
      <c r="D126" s="18">
        <v>436</v>
      </c>
      <c r="E126" s="17" t="s">
        <v>9</v>
      </c>
      <c r="F126" s="31" t="s">
        <v>172</v>
      </c>
    </row>
    <row r="127" spans="1:7" ht="17" x14ac:dyDescent="0.2">
      <c r="A127" s="8">
        <v>45298</v>
      </c>
      <c r="B127" s="8" t="s">
        <v>22</v>
      </c>
      <c r="C127" s="2" t="s">
        <v>24</v>
      </c>
      <c r="D127" s="6">
        <v>202.5</v>
      </c>
      <c r="E127" s="2" t="s">
        <v>9</v>
      </c>
      <c r="F127" s="28" t="s">
        <v>133</v>
      </c>
    </row>
    <row r="128" spans="1:7" ht="17" x14ac:dyDescent="0.2">
      <c r="A128" s="8">
        <v>45299</v>
      </c>
      <c r="B128" s="8" t="s">
        <v>22</v>
      </c>
      <c r="C128" s="2" t="s">
        <v>24</v>
      </c>
      <c r="D128" s="6">
        <v>116</v>
      </c>
      <c r="E128" s="2" t="s">
        <v>9</v>
      </c>
      <c r="F128" s="28" t="s">
        <v>134</v>
      </c>
      <c r="G128" s="2" t="s">
        <v>136</v>
      </c>
    </row>
    <row r="129" spans="1:7" ht="17" x14ac:dyDescent="0.2">
      <c r="A129" s="8">
        <v>45299</v>
      </c>
      <c r="B129" s="8" t="s">
        <v>22</v>
      </c>
      <c r="C129" s="2" t="s">
        <v>3</v>
      </c>
      <c r="D129" s="6">
        <v>116</v>
      </c>
      <c r="E129" s="2" t="s">
        <v>9</v>
      </c>
      <c r="F129" s="28" t="s">
        <v>134</v>
      </c>
      <c r="G129" s="2" t="s">
        <v>135</v>
      </c>
    </row>
    <row r="130" spans="1:7" ht="17" x14ac:dyDescent="0.2">
      <c r="A130" s="10">
        <v>45300</v>
      </c>
      <c r="B130" s="25" t="s">
        <v>22</v>
      </c>
      <c r="C130" s="11" t="s">
        <v>63</v>
      </c>
      <c r="D130" s="12">
        <v>22</v>
      </c>
      <c r="E130" s="11" t="s">
        <v>9</v>
      </c>
      <c r="F130" s="30" t="s">
        <v>137</v>
      </c>
    </row>
    <row r="131" spans="1:7" ht="17" x14ac:dyDescent="0.2">
      <c r="A131" s="10">
        <v>45300</v>
      </c>
      <c r="B131" s="25" t="s">
        <v>22</v>
      </c>
      <c r="C131" s="11" t="s">
        <v>63</v>
      </c>
      <c r="D131" s="12">
        <v>238</v>
      </c>
      <c r="E131" s="11" t="s">
        <v>5</v>
      </c>
      <c r="F131" s="30" t="s">
        <v>184</v>
      </c>
    </row>
    <row r="132" spans="1:7" ht="17" x14ac:dyDescent="0.2">
      <c r="A132" s="22">
        <v>45300</v>
      </c>
      <c r="B132" s="25" t="s">
        <v>22</v>
      </c>
      <c r="C132" s="23" t="s">
        <v>11</v>
      </c>
      <c r="D132" s="24">
        <v>22</v>
      </c>
      <c r="E132" s="23" t="s">
        <v>9</v>
      </c>
      <c r="F132" s="32" t="s">
        <v>137</v>
      </c>
    </row>
    <row r="133" spans="1:7" ht="17" x14ac:dyDescent="0.2">
      <c r="A133" s="22">
        <v>45300</v>
      </c>
      <c r="B133" s="25" t="s">
        <v>22</v>
      </c>
      <c r="C133" s="23" t="s">
        <v>11</v>
      </c>
      <c r="D133" s="24">
        <v>60</v>
      </c>
      <c r="E133" s="23" t="s">
        <v>9</v>
      </c>
      <c r="F133" s="32" t="s">
        <v>78</v>
      </c>
    </row>
    <row r="134" spans="1:7" ht="17" x14ac:dyDescent="0.2">
      <c r="A134" s="8">
        <v>45300</v>
      </c>
      <c r="B134" s="8" t="s">
        <v>22</v>
      </c>
      <c r="C134" s="2" t="s">
        <v>3</v>
      </c>
      <c r="D134" s="6">
        <v>210</v>
      </c>
      <c r="E134" s="2" t="s">
        <v>9</v>
      </c>
      <c r="F134" s="28" t="s">
        <v>115</v>
      </c>
    </row>
    <row r="135" spans="1:7" ht="17" x14ac:dyDescent="0.2">
      <c r="A135" s="8">
        <v>45300</v>
      </c>
      <c r="B135" s="8" t="s">
        <v>22</v>
      </c>
      <c r="C135" s="2" t="s">
        <v>24</v>
      </c>
      <c r="D135" s="6">
        <v>210</v>
      </c>
      <c r="E135" s="2" t="s">
        <v>9</v>
      </c>
      <c r="F135" s="28" t="s">
        <v>115</v>
      </c>
    </row>
    <row r="136" spans="1:7" ht="17" x14ac:dyDescent="0.2">
      <c r="A136" s="8">
        <v>45300</v>
      </c>
      <c r="B136" s="8" t="s">
        <v>22</v>
      </c>
      <c r="C136" s="2" t="s">
        <v>24</v>
      </c>
      <c r="D136" s="6">
        <v>68</v>
      </c>
      <c r="E136" s="2" t="s">
        <v>5</v>
      </c>
      <c r="F136" s="28" t="s">
        <v>138</v>
      </c>
    </row>
    <row r="137" spans="1:7" ht="17" x14ac:dyDescent="0.2">
      <c r="A137" s="22">
        <v>45301</v>
      </c>
      <c r="B137" s="25" t="s">
        <v>22</v>
      </c>
      <c r="C137" s="23" t="s">
        <v>11</v>
      </c>
      <c r="D137" s="24">
        <v>405</v>
      </c>
      <c r="E137" s="23" t="s">
        <v>9</v>
      </c>
      <c r="F137" s="32" t="s">
        <v>141</v>
      </c>
    </row>
    <row r="138" spans="1:7" ht="17" x14ac:dyDescent="0.2">
      <c r="A138" s="8">
        <v>45301</v>
      </c>
      <c r="B138" s="8" t="s">
        <v>22</v>
      </c>
      <c r="C138" s="2" t="s">
        <v>3</v>
      </c>
      <c r="D138" s="6">
        <v>405</v>
      </c>
      <c r="E138" s="2" t="s">
        <v>9</v>
      </c>
      <c r="F138" s="28" t="s">
        <v>141</v>
      </c>
    </row>
    <row r="139" spans="1:7" ht="17" x14ac:dyDescent="0.2">
      <c r="A139" s="8">
        <v>45301</v>
      </c>
      <c r="B139" s="8" t="s">
        <v>22</v>
      </c>
      <c r="C139" s="2" t="s">
        <v>3</v>
      </c>
      <c r="D139" s="6">
        <v>62</v>
      </c>
      <c r="E139" s="2" t="s">
        <v>9</v>
      </c>
      <c r="F139" s="28" t="s">
        <v>142</v>
      </c>
    </row>
    <row r="140" spans="1:7" ht="17" x14ac:dyDescent="0.2">
      <c r="A140" s="8">
        <v>45301</v>
      </c>
      <c r="B140" s="8" t="s">
        <v>22</v>
      </c>
      <c r="C140" s="2" t="s">
        <v>24</v>
      </c>
      <c r="D140" s="6">
        <v>62</v>
      </c>
      <c r="E140" s="2" t="s">
        <v>9</v>
      </c>
      <c r="F140" s="28" t="s">
        <v>142</v>
      </c>
    </row>
    <row r="141" spans="1:7" ht="17" x14ac:dyDescent="0.2">
      <c r="A141" s="22">
        <v>45302</v>
      </c>
      <c r="B141" s="25" t="s">
        <v>22</v>
      </c>
      <c r="C141" s="23" t="s">
        <v>11</v>
      </c>
      <c r="D141" s="24">
        <v>317</v>
      </c>
      <c r="E141" s="23" t="s">
        <v>9</v>
      </c>
      <c r="F141" s="32" t="s">
        <v>143</v>
      </c>
    </row>
    <row r="142" spans="1:7" ht="17" x14ac:dyDescent="0.2">
      <c r="A142" s="8">
        <v>45302</v>
      </c>
      <c r="B142" s="8" t="s">
        <v>22</v>
      </c>
      <c r="C142" s="2" t="s">
        <v>3</v>
      </c>
      <c r="D142" s="6">
        <v>116</v>
      </c>
      <c r="E142" s="2" t="s">
        <v>9</v>
      </c>
      <c r="F142" s="28" t="s">
        <v>26</v>
      </c>
    </row>
    <row r="143" spans="1:7" ht="17" x14ac:dyDescent="0.2">
      <c r="A143" s="8">
        <v>45307</v>
      </c>
      <c r="B143" s="8" t="s">
        <v>22</v>
      </c>
      <c r="C143" s="2" t="s">
        <v>36</v>
      </c>
      <c r="D143" s="6">
        <v>150</v>
      </c>
      <c r="E143" s="2" t="s">
        <v>9</v>
      </c>
      <c r="F143" s="28" t="s">
        <v>149</v>
      </c>
    </row>
    <row r="144" spans="1:7" ht="17" x14ac:dyDescent="0.2">
      <c r="A144" s="8">
        <v>45309</v>
      </c>
      <c r="B144" s="8" t="s">
        <v>22</v>
      </c>
      <c r="C144" s="2" t="s">
        <v>106</v>
      </c>
      <c r="D144" s="6">
        <v>189</v>
      </c>
      <c r="E144" s="2" t="s">
        <v>9</v>
      </c>
      <c r="F144" s="28" t="s">
        <v>26</v>
      </c>
    </row>
    <row r="145" spans="1:6" ht="17" x14ac:dyDescent="0.2">
      <c r="A145" s="8">
        <v>45309</v>
      </c>
      <c r="B145" s="8" t="s">
        <v>22</v>
      </c>
      <c r="C145" s="2" t="s">
        <v>24</v>
      </c>
      <c r="D145" s="6">
        <v>125</v>
      </c>
      <c r="E145" s="2" t="s">
        <v>9</v>
      </c>
      <c r="F145" s="28" t="s">
        <v>26</v>
      </c>
    </row>
    <row r="146" spans="1:6" ht="17" x14ac:dyDescent="0.2">
      <c r="A146" s="8">
        <v>45309</v>
      </c>
      <c r="B146" s="8" t="s">
        <v>22</v>
      </c>
      <c r="C146" s="2" t="s">
        <v>24</v>
      </c>
      <c r="D146" s="6">
        <v>56.5</v>
      </c>
      <c r="E146" s="2" t="s">
        <v>9</v>
      </c>
      <c r="F146" s="28" t="s">
        <v>144</v>
      </c>
    </row>
    <row r="147" spans="1:6" ht="17" x14ac:dyDescent="0.2">
      <c r="A147" s="8">
        <v>45309</v>
      </c>
      <c r="B147" s="8" t="s">
        <v>22</v>
      </c>
      <c r="C147" s="2" t="s">
        <v>106</v>
      </c>
      <c r="D147" s="6">
        <v>56</v>
      </c>
      <c r="E147" s="2" t="s">
        <v>9</v>
      </c>
      <c r="F147" s="28" t="s">
        <v>144</v>
      </c>
    </row>
    <row r="148" spans="1:6" ht="17" x14ac:dyDescent="0.2">
      <c r="A148" s="25">
        <v>45314</v>
      </c>
      <c r="B148" s="25" t="s">
        <v>22</v>
      </c>
      <c r="C148" s="26" t="s">
        <v>3</v>
      </c>
      <c r="D148" s="27">
        <v>102</v>
      </c>
      <c r="E148" s="26" t="s">
        <v>5</v>
      </c>
      <c r="F148" s="33" t="s">
        <v>181</v>
      </c>
    </row>
    <row r="149" spans="1:6" ht="17" x14ac:dyDescent="0.2">
      <c r="A149" s="8">
        <v>45314</v>
      </c>
      <c r="B149" s="8" t="s">
        <v>22</v>
      </c>
      <c r="C149" s="2" t="s">
        <v>106</v>
      </c>
      <c r="D149" s="6">
        <v>134</v>
      </c>
      <c r="E149" s="2" t="s">
        <v>9</v>
      </c>
      <c r="F149" s="28" t="s">
        <v>145</v>
      </c>
    </row>
    <row r="150" spans="1:6" ht="17" x14ac:dyDescent="0.2">
      <c r="A150" s="8">
        <v>45314</v>
      </c>
      <c r="B150" s="8" t="s">
        <v>22</v>
      </c>
      <c r="C150" s="2" t="s">
        <v>24</v>
      </c>
      <c r="D150" s="6">
        <v>134</v>
      </c>
      <c r="E150" s="2" t="s">
        <v>9</v>
      </c>
      <c r="F150" s="28" t="s">
        <v>145</v>
      </c>
    </row>
    <row r="151" spans="1:6" ht="17" x14ac:dyDescent="0.2">
      <c r="A151" s="13">
        <v>45315</v>
      </c>
      <c r="B151" s="25" t="s">
        <v>22</v>
      </c>
      <c r="C151" s="14" t="s">
        <v>25</v>
      </c>
      <c r="D151" s="15">
        <v>100</v>
      </c>
      <c r="E151" s="14" t="s">
        <v>9</v>
      </c>
      <c r="F151" s="29" t="s">
        <v>115</v>
      </c>
    </row>
    <row r="152" spans="1:6" ht="17" x14ac:dyDescent="0.2">
      <c r="A152" s="13">
        <v>45315</v>
      </c>
      <c r="B152" s="25" t="s">
        <v>22</v>
      </c>
      <c r="C152" s="14" t="s">
        <v>25</v>
      </c>
      <c r="D152" s="15">
        <v>97</v>
      </c>
      <c r="E152" s="14" t="s">
        <v>9</v>
      </c>
      <c r="F152" s="29" t="s">
        <v>121</v>
      </c>
    </row>
    <row r="153" spans="1:6" ht="17" x14ac:dyDescent="0.2">
      <c r="A153" s="8">
        <v>45315</v>
      </c>
      <c r="B153" s="8" t="s">
        <v>22</v>
      </c>
      <c r="C153" s="2" t="s">
        <v>3</v>
      </c>
      <c r="D153" s="6">
        <v>150</v>
      </c>
      <c r="E153" s="2" t="s">
        <v>9</v>
      </c>
      <c r="F153" s="28" t="s">
        <v>115</v>
      </c>
    </row>
    <row r="154" spans="1:6" ht="17" x14ac:dyDescent="0.2">
      <c r="A154" s="8">
        <v>45315</v>
      </c>
      <c r="B154" s="8" t="s">
        <v>22</v>
      </c>
      <c r="C154" s="2" t="s">
        <v>106</v>
      </c>
      <c r="D154" s="6">
        <v>97</v>
      </c>
      <c r="E154" s="2" t="s">
        <v>9</v>
      </c>
      <c r="F154" s="28" t="s">
        <v>121</v>
      </c>
    </row>
    <row r="155" spans="1:6" ht="17" x14ac:dyDescent="0.2">
      <c r="A155" s="8">
        <v>45315</v>
      </c>
      <c r="B155" s="8" t="s">
        <v>22</v>
      </c>
      <c r="C155" s="2" t="s">
        <v>3</v>
      </c>
      <c r="D155" s="6">
        <v>80</v>
      </c>
      <c r="E155" s="2" t="s">
        <v>9</v>
      </c>
      <c r="F155" s="28" t="s">
        <v>115</v>
      </c>
    </row>
    <row r="156" spans="1:6" ht="17" x14ac:dyDescent="0.2">
      <c r="A156" s="10">
        <v>45316</v>
      </c>
      <c r="B156" s="25" t="s">
        <v>22</v>
      </c>
      <c r="C156" s="11" t="s">
        <v>63</v>
      </c>
      <c r="D156" s="12">
        <v>114</v>
      </c>
      <c r="E156" s="11" t="s">
        <v>9</v>
      </c>
      <c r="F156" s="30" t="s">
        <v>148</v>
      </c>
    </row>
    <row r="157" spans="1:6" ht="17" x14ac:dyDescent="0.2">
      <c r="A157" s="8">
        <v>45316</v>
      </c>
      <c r="B157" s="8" t="s">
        <v>22</v>
      </c>
      <c r="C157" s="2" t="s">
        <v>24</v>
      </c>
      <c r="D157" s="6">
        <v>156</v>
      </c>
      <c r="E157" s="2" t="s">
        <v>9</v>
      </c>
      <c r="F157" s="28" t="s">
        <v>148</v>
      </c>
    </row>
    <row r="158" spans="1:6" ht="17" x14ac:dyDescent="0.2">
      <c r="A158" s="8">
        <v>45316</v>
      </c>
      <c r="B158" s="8" t="s">
        <v>22</v>
      </c>
      <c r="C158" s="2" t="s">
        <v>106</v>
      </c>
      <c r="D158" s="6">
        <v>122</v>
      </c>
      <c r="E158" s="2" t="s">
        <v>9</v>
      </c>
      <c r="F158" s="28" t="s">
        <v>69</v>
      </c>
    </row>
    <row r="159" spans="1:6" ht="17" x14ac:dyDescent="0.2">
      <c r="A159" s="8">
        <v>45316</v>
      </c>
      <c r="B159" s="8" t="s">
        <v>22</v>
      </c>
      <c r="C159" s="2" t="s">
        <v>24</v>
      </c>
      <c r="D159" s="6">
        <v>113</v>
      </c>
      <c r="E159" s="2" t="s">
        <v>9</v>
      </c>
      <c r="F159" s="28" t="s">
        <v>150</v>
      </c>
    </row>
    <row r="160" spans="1:6" ht="17" x14ac:dyDescent="0.2">
      <c r="A160" s="22">
        <v>45317</v>
      </c>
      <c r="B160" s="25" t="s">
        <v>22</v>
      </c>
      <c r="C160" s="23" t="s">
        <v>11</v>
      </c>
      <c r="D160" s="24">
        <v>136</v>
      </c>
      <c r="E160" s="23" t="s">
        <v>5</v>
      </c>
      <c r="F160" s="32" t="s">
        <v>182</v>
      </c>
    </row>
    <row r="161" spans="1:7" ht="17" x14ac:dyDescent="0.2">
      <c r="A161" s="8">
        <v>45317</v>
      </c>
      <c r="B161" s="8" t="s">
        <v>22</v>
      </c>
      <c r="C161" s="2" t="s">
        <v>3</v>
      </c>
      <c r="D161" s="6">
        <v>100</v>
      </c>
      <c r="E161" s="2" t="s">
        <v>9</v>
      </c>
      <c r="F161" s="28" t="s">
        <v>29</v>
      </c>
    </row>
    <row r="162" spans="1:7" ht="17" x14ac:dyDescent="0.2">
      <c r="A162" s="13">
        <v>45322</v>
      </c>
      <c r="B162" s="25" t="s">
        <v>22</v>
      </c>
      <c r="C162" s="14" t="s">
        <v>25</v>
      </c>
      <c r="D162" s="15">
        <v>60</v>
      </c>
      <c r="E162" s="14" t="s">
        <v>9</v>
      </c>
      <c r="F162" s="29" t="s">
        <v>152</v>
      </c>
    </row>
    <row r="163" spans="1:7" ht="17" x14ac:dyDescent="0.2">
      <c r="A163" s="22">
        <v>45322</v>
      </c>
      <c r="B163" s="25" t="s">
        <v>22</v>
      </c>
      <c r="C163" s="23" t="s">
        <v>11</v>
      </c>
      <c r="D163" s="24">
        <v>65</v>
      </c>
      <c r="E163" s="23" t="s">
        <v>9</v>
      </c>
      <c r="F163" s="32" t="s">
        <v>152</v>
      </c>
    </row>
    <row r="164" spans="1:7" ht="17" x14ac:dyDescent="0.2">
      <c r="A164" s="25">
        <v>45324</v>
      </c>
      <c r="B164" s="25" t="s">
        <v>22</v>
      </c>
      <c r="C164" s="26" t="s">
        <v>3</v>
      </c>
      <c r="D164" s="27">
        <v>72</v>
      </c>
      <c r="E164" s="26" t="s">
        <v>9</v>
      </c>
      <c r="F164" s="33" t="s">
        <v>154</v>
      </c>
    </row>
    <row r="165" spans="1:7" ht="17" x14ac:dyDescent="0.2">
      <c r="A165" s="13">
        <v>45326</v>
      </c>
      <c r="B165" s="25" t="s">
        <v>22</v>
      </c>
      <c r="C165" s="14" t="s">
        <v>25</v>
      </c>
      <c r="D165" s="15">
        <v>85</v>
      </c>
      <c r="E165" s="14" t="s">
        <v>9</v>
      </c>
      <c r="F165" s="29" t="s">
        <v>171</v>
      </c>
    </row>
    <row r="166" spans="1:7" ht="17" x14ac:dyDescent="0.2">
      <c r="A166" s="19">
        <v>45326</v>
      </c>
      <c r="B166" s="25" t="s">
        <v>22</v>
      </c>
      <c r="C166" s="20" t="s">
        <v>106</v>
      </c>
      <c r="D166" s="21">
        <v>85</v>
      </c>
      <c r="E166" s="20" t="s">
        <v>9</v>
      </c>
      <c r="F166" s="34" t="s">
        <v>171</v>
      </c>
    </row>
    <row r="167" spans="1:7" ht="17" x14ac:dyDescent="0.2">
      <c r="A167" s="16">
        <v>45328</v>
      </c>
      <c r="B167" s="25" t="s">
        <v>22</v>
      </c>
      <c r="C167" s="17" t="s">
        <v>24</v>
      </c>
      <c r="D167" s="18">
        <v>123</v>
      </c>
      <c r="E167" s="17" t="s">
        <v>9</v>
      </c>
      <c r="F167" s="31" t="s">
        <v>157</v>
      </c>
    </row>
    <row r="168" spans="1:7" ht="17" x14ac:dyDescent="0.2">
      <c r="A168" s="16">
        <v>45328</v>
      </c>
      <c r="B168" s="25" t="s">
        <v>22</v>
      </c>
      <c r="C168" s="17" t="s">
        <v>24</v>
      </c>
      <c r="D168" s="36">
        <v>109</v>
      </c>
      <c r="E168" s="17" t="s">
        <v>9</v>
      </c>
      <c r="F168" s="31" t="s">
        <v>121</v>
      </c>
    </row>
    <row r="169" spans="1:7" ht="17" x14ac:dyDescent="0.2">
      <c r="A169" s="16">
        <v>45328</v>
      </c>
      <c r="B169" s="25" t="s">
        <v>22</v>
      </c>
      <c r="C169" s="17" t="s">
        <v>24</v>
      </c>
      <c r="D169" s="18">
        <v>45</v>
      </c>
      <c r="E169" s="17" t="s">
        <v>9</v>
      </c>
      <c r="F169" s="31" t="s">
        <v>144</v>
      </c>
    </row>
    <row r="170" spans="1:7" ht="17" x14ac:dyDescent="0.2">
      <c r="A170" s="19">
        <v>45328</v>
      </c>
      <c r="B170" s="25" t="s">
        <v>22</v>
      </c>
      <c r="C170" s="20" t="s">
        <v>106</v>
      </c>
      <c r="D170" s="21">
        <v>118</v>
      </c>
      <c r="E170" s="20" t="s">
        <v>9</v>
      </c>
      <c r="F170" s="34" t="s">
        <v>121</v>
      </c>
    </row>
    <row r="171" spans="1:7" ht="17" x14ac:dyDescent="0.2">
      <c r="A171" s="19">
        <v>45328</v>
      </c>
      <c r="B171" s="25" t="s">
        <v>22</v>
      </c>
      <c r="C171" s="20" t="s">
        <v>106</v>
      </c>
      <c r="D171" s="21">
        <v>45</v>
      </c>
      <c r="E171" s="20" t="s">
        <v>9</v>
      </c>
      <c r="F171" s="34" t="s">
        <v>144</v>
      </c>
      <c r="G171" s="51" t="s">
        <v>159</v>
      </c>
    </row>
    <row r="172" spans="1:7" ht="17" x14ac:dyDescent="0.2">
      <c r="A172" s="22">
        <v>45328</v>
      </c>
      <c r="B172" s="25" t="s">
        <v>22</v>
      </c>
      <c r="C172" s="23" t="s">
        <v>11</v>
      </c>
      <c r="D172" s="24">
        <v>40</v>
      </c>
      <c r="E172" s="23" t="s">
        <v>9</v>
      </c>
      <c r="F172" s="32" t="s">
        <v>155</v>
      </c>
      <c r="G172" s="51"/>
    </row>
    <row r="173" spans="1:7" ht="17" x14ac:dyDescent="0.2">
      <c r="A173" s="25">
        <v>45328</v>
      </c>
      <c r="B173" s="25" t="s">
        <v>22</v>
      </c>
      <c r="C173" s="26" t="s">
        <v>3</v>
      </c>
      <c r="D173" s="27">
        <v>30</v>
      </c>
      <c r="E173" s="26" t="s">
        <v>9</v>
      </c>
      <c r="F173" s="33" t="s">
        <v>156</v>
      </c>
      <c r="G173" s="51"/>
    </row>
    <row r="174" spans="1:7" ht="17" x14ac:dyDescent="0.2">
      <c r="A174" s="25">
        <v>45328</v>
      </c>
      <c r="B174" s="25" t="s">
        <v>22</v>
      </c>
      <c r="C174" s="26" t="s">
        <v>3</v>
      </c>
      <c r="D174" s="27">
        <v>109</v>
      </c>
      <c r="E174" s="26" t="s">
        <v>9</v>
      </c>
      <c r="F174" s="33" t="s">
        <v>121</v>
      </c>
      <c r="G174" s="51" t="s">
        <v>158</v>
      </c>
    </row>
    <row r="175" spans="1:7" ht="17" x14ac:dyDescent="0.2">
      <c r="A175" s="25">
        <v>45328</v>
      </c>
      <c r="B175" s="25" t="s">
        <v>22</v>
      </c>
      <c r="C175" s="26" t="s">
        <v>3</v>
      </c>
      <c r="D175" s="27">
        <v>45</v>
      </c>
      <c r="E175" s="26" t="s">
        <v>9</v>
      </c>
      <c r="F175" s="33" t="s">
        <v>144</v>
      </c>
      <c r="G175" s="51"/>
    </row>
    <row r="176" spans="1:7" ht="17" x14ac:dyDescent="0.2">
      <c r="A176" s="16">
        <v>45329</v>
      </c>
      <c r="B176" s="25" t="s">
        <v>22</v>
      </c>
      <c r="C176" s="17" t="s">
        <v>24</v>
      </c>
      <c r="D176" s="18">
        <v>115</v>
      </c>
      <c r="E176" s="17" t="s">
        <v>9</v>
      </c>
      <c r="F176" s="31" t="s">
        <v>122</v>
      </c>
      <c r="G176" s="51"/>
    </row>
    <row r="177" spans="1:6" ht="17" x14ac:dyDescent="0.2">
      <c r="A177" s="25">
        <v>45329</v>
      </c>
      <c r="B177" s="25" t="s">
        <v>22</v>
      </c>
      <c r="C177" s="26" t="s">
        <v>3</v>
      </c>
      <c r="D177" s="27">
        <v>125</v>
      </c>
      <c r="E177" s="26" t="s">
        <v>9</v>
      </c>
      <c r="F177" s="33" t="s">
        <v>122</v>
      </c>
    </row>
    <row r="178" spans="1:6" ht="17" x14ac:dyDescent="0.2">
      <c r="A178" s="8">
        <v>45329</v>
      </c>
      <c r="B178" s="8" t="s">
        <v>22</v>
      </c>
      <c r="C178" s="2" t="s">
        <v>106</v>
      </c>
      <c r="D178" s="6">
        <v>125</v>
      </c>
      <c r="E178" s="2" t="s">
        <v>9</v>
      </c>
      <c r="F178" s="28" t="s">
        <v>122</v>
      </c>
    </row>
    <row r="179" spans="1:6" ht="17" x14ac:dyDescent="0.2">
      <c r="A179" s="16">
        <v>45330</v>
      </c>
      <c r="B179" s="25" t="s">
        <v>22</v>
      </c>
      <c r="C179" s="17" t="s">
        <v>24</v>
      </c>
      <c r="D179" s="18">
        <v>70</v>
      </c>
      <c r="E179" s="17" t="s">
        <v>9</v>
      </c>
      <c r="F179" s="31" t="s">
        <v>170</v>
      </c>
    </row>
    <row r="180" spans="1:6" ht="17" x14ac:dyDescent="0.2">
      <c r="A180" s="19">
        <v>45330</v>
      </c>
      <c r="B180" s="25" t="s">
        <v>22</v>
      </c>
      <c r="C180" s="20" t="s">
        <v>106</v>
      </c>
      <c r="D180" s="21">
        <v>70</v>
      </c>
      <c r="E180" s="20" t="s">
        <v>9</v>
      </c>
      <c r="F180" s="34" t="s">
        <v>170</v>
      </c>
    </row>
    <row r="181" spans="1:6" ht="17" x14ac:dyDescent="0.2">
      <c r="A181" s="22">
        <v>45330</v>
      </c>
      <c r="B181" s="25" t="s">
        <v>22</v>
      </c>
      <c r="C181" s="23" t="s">
        <v>11</v>
      </c>
      <c r="D181" s="24">
        <v>70</v>
      </c>
      <c r="E181" s="23" t="s">
        <v>9</v>
      </c>
      <c r="F181" s="32" t="s">
        <v>170</v>
      </c>
    </row>
    <row r="182" spans="1:6" ht="17" x14ac:dyDescent="0.2">
      <c r="A182" s="25">
        <v>45330</v>
      </c>
      <c r="B182" s="25" t="s">
        <v>22</v>
      </c>
      <c r="C182" s="26" t="s">
        <v>3</v>
      </c>
      <c r="D182" s="27">
        <v>70</v>
      </c>
      <c r="E182" s="26" t="s">
        <v>9</v>
      </c>
      <c r="F182" s="33" t="s">
        <v>170</v>
      </c>
    </row>
    <row r="183" spans="1:6" ht="17" x14ac:dyDescent="0.2">
      <c r="A183" s="22">
        <v>45331</v>
      </c>
      <c r="B183" s="25" t="s">
        <v>22</v>
      </c>
      <c r="C183" s="23" t="s">
        <v>11</v>
      </c>
      <c r="D183" s="24">
        <v>165</v>
      </c>
      <c r="E183" s="23" t="s">
        <v>9</v>
      </c>
      <c r="F183" s="32" t="s">
        <v>173</v>
      </c>
    </row>
    <row r="184" spans="1:6" ht="17" x14ac:dyDescent="0.2">
      <c r="A184" s="25">
        <v>45331</v>
      </c>
      <c r="B184" s="25" t="s">
        <v>22</v>
      </c>
      <c r="C184" s="26" t="s">
        <v>3</v>
      </c>
      <c r="D184" s="27">
        <v>165</v>
      </c>
      <c r="E184" s="26" t="s">
        <v>9</v>
      </c>
      <c r="F184" s="33" t="s">
        <v>173</v>
      </c>
    </row>
    <row r="185" spans="1:6" ht="17" x14ac:dyDescent="0.2">
      <c r="A185" s="25">
        <v>45333</v>
      </c>
      <c r="B185" s="25" t="s">
        <v>22</v>
      </c>
      <c r="C185" s="26" t="s">
        <v>3</v>
      </c>
      <c r="D185" s="27">
        <v>184</v>
      </c>
      <c r="E185" s="26" t="s">
        <v>9</v>
      </c>
      <c r="F185" s="33" t="s">
        <v>174</v>
      </c>
    </row>
    <row r="186" spans="1:6" ht="17" x14ac:dyDescent="0.2">
      <c r="A186" s="25">
        <v>45333</v>
      </c>
      <c r="B186" s="25" t="s">
        <v>22</v>
      </c>
      <c r="C186" s="26" t="s">
        <v>3</v>
      </c>
      <c r="D186" s="27">
        <v>35</v>
      </c>
      <c r="E186" s="26" t="s">
        <v>9</v>
      </c>
      <c r="F186" s="33" t="s">
        <v>170</v>
      </c>
    </row>
    <row r="187" spans="1:6" ht="17" x14ac:dyDescent="0.2">
      <c r="A187" s="25">
        <v>45337</v>
      </c>
      <c r="B187" s="25" t="s">
        <v>22</v>
      </c>
      <c r="C187" s="26" t="s">
        <v>3</v>
      </c>
      <c r="D187" s="27">
        <v>100</v>
      </c>
      <c r="E187" s="26" t="s">
        <v>9</v>
      </c>
      <c r="F187" s="33" t="s">
        <v>175</v>
      </c>
    </row>
    <row r="188" spans="1:6" ht="17" x14ac:dyDescent="0.2">
      <c r="A188" s="16">
        <v>45338</v>
      </c>
      <c r="B188" s="25" t="s">
        <v>22</v>
      </c>
      <c r="C188" s="17" t="s">
        <v>24</v>
      </c>
      <c r="D188" s="18">
        <v>85</v>
      </c>
      <c r="E188" s="17" t="s">
        <v>9</v>
      </c>
      <c r="F188" s="31" t="s">
        <v>176</v>
      </c>
    </row>
    <row r="189" spans="1:6" ht="17" x14ac:dyDescent="0.2">
      <c r="A189" s="16">
        <v>45338</v>
      </c>
      <c r="B189" s="25" t="s">
        <v>22</v>
      </c>
      <c r="C189" s="17" t="s">
        <v>24</v>
      </c>
      <c r="D189" s="18">
        <v>100</v>
      </c>
      <c r="E189" s="17" t="s">
        <v>9</v>
      </c>
      <c r="F189" s="31" t="s">
        <v>29</v>
      </c>
    </row>
    <row r="190" spans="1:6" ht="17" x14ac:dyDescent="0.2">
      <c r="A190" s="16">
        <v>45339</v>
      </c>
      <c r="B190" s="25" t="s">
        <v>22</v>
      </c>
      <c r="C190" s="17" t="s">
        <v>24</v>
      </c>
      <c r="D190" s="18">
        <v>130</v>
      </c>
      <c r="E190" s="17" t="s">
        <v>9</v>
      </c>
      <c r="F190" s="31" t="s">
        <v>177</v>
      </c>
    </row>
    <row r="191" spans="1:6" ht="17" x14ac:dyDescent="0.2">
      <c r="A191" s="13">
        <v>45344</v>
      </c>
      <c r="B191" s="25" t="s">
        <v>22</v>
      </c>
      <c r="C191" s="14" t="s">
        <v>25</v>
      </c>
      <c r="D191" s="15">
        <v>143</v>
      </c>
      <c r="E191" s="14" t="s">
        <v>9</v>
      </c>
      <c r="F191" s="29" t="s">
        <v>162</v>
      </c>
    </row>
    <row r="192" spans="1:6" ht="17" x14ac:dyDescent="0.2">
      <c r="A192" s="19">
        <v>45344</v>
      </c>
      <c r="B192" s="25" t="s">
        <v>22</v>
      </c>
      <c r="C192" s="20" t="s">
        <v>106</v>
      </c>
      <c r="D192" s="21">
        <v>200</v>
      </c>
      <c r="E192" s="20" t="s">
        <v>9</v>
      </c>
      <c r="F192" s="34" t="s">
        <v>161</v>
      </c>
    </row>
    <row r="193" spans="1:6" ht="17" x14ac:dyDescent="0.2">
      <c r="A193" s="25">
        <v>45344</v>
      </c>
      <c r="B193" s="25" t="s">
        <v>22</v>
      </c>
      <c r="C193" s="26" t="s">
        <v>3</v>
      </c>
      <c r="D193" s="27">
        <v>185</v>
      </c>
      <c r="E193" s="26" t="s">
        <v>9</v>
      </c>
      <c r="F193" s="33" t="s">
        <v>163</v>
      </c>
    </row>
    <row r="194" spans="1:6" ht="17" x14ac:dyDescent="0.2">
      <c r="A194" s="19">
        <v>45348</v>
      </c>
      <c r="B194" s="25" t="s">
        <v>22</v>
      </c>
      <c r="C194" s="20" t="s">
        <v>106</v>
      </c>
      <c r="D194" s="21">
        <v>115</v>
      </c>
      <c r="E194" s="20" t="s">
        <v>9</v>
      </c>
      <c r="F194" s="34" t="s">
        <v>164</v>
      </c>
    </row>
    <row r="195" spans="1:6" ht="17" x14ac:dyDescent="0.2">
      <c r="A195" s="22">
        <v>45348</v>
      </c>
      <c r="B195" s="25" t="s">
        <v>22</v>
      </c>
      <c r="C195" s="23" t="s">
        <v>11</v>
      </c>
      <c r="D195" s="24">
        <v>30</v>
      </c>
      <c r="E195" s="23" t="s">
        <v>9</v>
      </c>
      <c r="F195" s="32" t="s">
        <v>170</v>
      </c>
    </row>
    <row r="196" spans="1:6" ht="17" x14ac:dyDescent="0.2">
      <c r="A196" s="25">
        <v>45348</v>
      </c>
      <c r="B196" s="25" t="s">
        <v>22</v>
      </c>
      <c r="C196" s="26" t="s">
        <v>3</v>
      </c>
      <c r="D196" s="27">
        <v>30</v>
      </c>
      <c r="E196" s="26" t="s">
        <v>9</v>
      </c>
      <c r="F196" s="33" t="s">
        <v>170</v>
      </c>
    </row>
    <row r="197" spans="1:6" ht="17" x14ac:dyDescent="0.2">
      <c r="A197" s="13">
        <v>45349</v>
      </c>
      <c r="B197" s="25" t="s">
        <v>22</v>
      </c>
      <c r="C197" s="14" t="s">
        <v>25</v>
      </c>
      <c r="D197" s="15">
        <v>102</v>
      </c>
      <c r="E197" s="14" t="s">
        <v>9</v>
      </c>
      <c r="F197" s="29" t="s">
        <v>121</v>
      </c>
    </row>
    <row r="198" spans="1:6" ht="17" x14ac:dyDescent="0.2">
      <c r="A198" s="16">
        <v>45349</v>
      </c>
      <c r="B198" s="25" t="s">
        <v>22</v>
      </c>
      <c r="C198" s="17" t="s">
        <v>24</v>
      </c>
      <c r="D198" s="18">
        <v>102</v>
      </c>
      <c r="E198" s="17" t="s">
        <v>9</v>
      </c>
      <c r="F198" s="31" t="s">
        <v>121</v>
      </c>
    </row>
    <row r="199" spans="1:6" ht="17" x14ac:dyDescent="0.2">
      <c r="A199" s="16">
        <v>45349</v>
      </c>
      <c r="B199" s="25" t="s">
        <v>22</v>
      </c>
      <c r="C199" s="17" t="s">
        <v>24</v>
      </c>
      <c r="D199" s="18">
        <v>25</v>
      </c>
      <c r="E199" s="17" t="s">
        <v>9</v>
      </c>
      <c r="F199" s="31" t="s">
        <v>168</v>
      </c>
    </row>
    <row r="200" spans="1:6" ht="17" x14ac:dyDescent="0.2">
      <c r="A200" s="19">
        <v>45349</v>
      </c>
      <c r="B200" s="25" t="s">
        <v>22</v>
      </c>
      <c r="C200" s="20" t="s">
        <v>106</v>
      </c>
      <c r="D200" s="21">
        <v>102</v>
      </c>
      <c r="E200" s="20" t="s">
        <v>9</v>
      </c>
      <c r="F200" s="34" t="s">
        <v>121</v>
      </c>
    </row>
    <row r="201" spans="1:6" ht="17" x14ac:dyDescent="0.2">
      <c r="A201" s="19">
        <v>45349</v>
      </c>
      <c r="B201" s="25" t="s">
        <v>22</v>
      </c>
      <c r="C201" s="20" t="s">
        <v>106</v>
      </c>
      <c r="D201" s="21">
        <v>40</v>
      </c>
      <c r="E201" s="20" t="s">
        <v>9</v>
      </c>
      <c r="F201" s="34" t="s">
        <v>167</v>
      </c>
    </row>
    <row r="202" spans="1:6" ht="17" x14ac:dyDescent="0.2">
      <c r="A202" s="22">
        <v>45349</v>
      </c>
      <c r="B202" s="25" t="s">
        <v>22</v>
      </c>
      <c r="C202" s="23" t="s">
        <v>11</v>
      </c>
      <c r="D202" s="24">
        <v>50</v>
      </c>
      <c r="E202" s="23" t="s">
        <v>9</v>
      </c>
      <c r="F202" s="32" t="s">
        <v>165</v>
      </c>
    </row>
    <row r="203" spans="1:6" ht="17" x14ac:dyDescent="0.2">
      <c r="A203" s="8">
        <v>45349</v>
      </c>
      <c r="B203" s="25" t="s">
        <v>22</v>
      </c>
      <c r="C203" s="2" t="s">
        <v>16</v>
      </c>
      <c r="D203" s="6">
        <v>100</v>
      </c>
      <c r="E203" s="2" t="s">
        <v>9</v>
      </c>
      <c r="F203" s="28" t="s">
        <v>169</v>
      </c>
    </row>
    <row r="204" spans="1:6" ht="17" x14ac:dyDescent="0.2">
      <c r="A204" s="25">
        <v>45349</v>
      </c>
      <c r="B204" s="25" t="s">
        <v>22</v>
      </c>
      <c r="C204" s="26" t="s">
        <v>3</v>
      </c>
      <c r="D204" s="27">
        <v>50</v>
      </c>
      <c r="E204" s="26" t="s">
        <v>9</v>
      </c>
      <c r="F204" s="33" t="s">
        <v>165</v>
      </c>
    </row>
    <row r="205" spans="1:6" ht="17" x14ac:dyDescent="0.2">
      <c r="A205" s="25">
        <v>45349</v>
      </c>
      <c r="B205" s="25" t="s">
        <v>22</v>
      </c>
      <c r="C205" s="26" t="s">
        <v>3</v>
      </c>
      <c r="D205" s="27">
        <v>102</v>
      </c>
      <c r="E205" s="26" t="s">
        <v>9</v>
      </c>
      <c r="F205" s="33" t="s">
        <v>121</v>
      </c>
    </row>
    <row r="206" spans="1:6" ht="17" x14ac:dyDescent="0.2">
      <c r="A206" s="25">
        <v>45349</v>
      </c>
      <c r="B206" s="25" t="s">
        <v>22</v>
      </c>
      <c r="C206" s="26" t="s">
        <v>3</v>
      </c>
      <c r="D206" s="27">
        <v>75</v>
      </c>
      <c r="E206" s="26" t="s">
        <v>9</v>
      </c>
      <c r="F206" s="33" t="s">
        <v>166</v>
      </c>
    </row>
    <row r="207" spans="1:6" ht="17" x14ac:dyDescent="0.2">
      <c r="A207" s="16">
        <v>45350</v>
      </c>
      <c r="B207" s="25" t="s">
        <v>22</v>
      </c>
      <c r="C207" s="17" t="s">
        <v>24</v>
      </c>
      <c r="D207" s="18">
        <v>101</v>
      </c>
      <c r="E207" s="17" t="s">
        <v>9</v>
      </c>
      <c r="F207" s="31" t="s">
        <v>121</v>
      </c>
    </row>
    <row r="208" spans="1:6" ht="17" x14ac:dyDescent="0.2">
      <c r="A208" s="19">
        <v>45350</v>
      </c>
      <c r="B208" s="25" t="s">
        <v>22</v>
      </c>
      <c r="C208" s="20" t="s">
        <v>106</v>
      </c>
      <c r="D208" s="21">
        <v>101</v>
      </c>
      <c r="E208" s="20" t="s">
        <v>9</v>
      </c>
      <c r="F208" s="34" t="s">
        <v>121</v>
      </c>
    </row>
    <row r="209" spans="1:6" ht="17" x14ac:dyDescent="0.2">
      <c r="A209" s="25">
        <v>45350</v>
      </c>
      <c r="B209" s="25" t="s">
        <v>22</v>
      </c>
      <c r="C209" s="26" t="s">
        <v>3</v>
      </c>
      <c r="D209" s="27">
        <v>101</v>
      </c>
      <c r="E209" s="26" t="s">
        <v>9</v>
      </c>
      <c r="F209" s="33" t="s">
        <v>121</v>
      </c>
    </row>
    <row r="210" spans="1:6" ht="17" x14ac:dyDescent="0.2">
      <c r="A210" s="16">
        <v>45351</v>
      </c>
      <c r="B210" s="25" t="s">
        <v>22</v>
      </c>
      <c r="C210" s="17" t="s">
        <v>24</v>
      </c>
      <c r="D210" s="18">
        <v>115</v>
      </c>
      <c r="E210" s="17" t="s">
        <v>9</v>
      </c>
      <c r="F210" s="31" t="s">
        <v>178</v>
      </c>
    </row>
    <row r="211" spans="1:6" ht="17" x14ac:dyDescent="0.2">
      <c r="A211" s="19">
        <v>45351</v>
      </c>
      <c r="B211" s="25" t="s">
        <v>22</v>
      </c>
      <c r="C211" s="20" t="s">
        <v>106</v>
      </c>
      <c r="D211" s="21">
        <v>720</v>
      </c>
      <c r="E211" s="20" t="s">
        <v>9</v>
      </c>
      <c r="F211" s="34" t="s">
        <v>180</v>
      </c>
    </row>
    <row r="212" spans="1:6" ht="17" x14ac:dyDescent="0.2">
      <c r="A212" s="22">
        <v>45351</v>
      </c>
      <c r="B212" s="25" t="s">
        <v>22</v>
      </c>
      <c r="C212" s="23" t="s">
        <v>11</v>
      </c>
      <c r="D212" s="24">
        <v>210</v>
      </c>
      <c r="E212" s="23" t="s">
        <v>9</v>
      </c>
      <c r="F212" s="32" t="s">
        <v>179</v>
      </c>
    </row>
    <row r="213" spans="1:6" ht="17" x14ac:dyDescent="0.2">
      <c r="A213" s="25">
        <v>45351</v>
      </c>
      <c r="B213" s="25" t="s">
        <v>22</v>
      </c>
      <c r="C213" s="26" t="s">
        <v>3</v>
      </c>
      <c r="D213" s="27">
        <v>115</v>
      </c>
      <c r="E213" s="26" t="s">
        <v>9</v>
      </c>
      <c r="F213" s="33" t="s">
        <v>178</v>
      </c>
    </row>
    <row r="214" spans="1:6" ht="17" x14ac:dyDescent="0.2">
      <c r="A214" s="25">
        <v>45351</v>
      </c>
      <c r="B214" s="25" t="s">
        <v>22</v>
      </c>
      <c r="C214" s="26" t="s">
        <v>3</v>
      </c>
      <c r="D214" s="27">
        <v>50</v>
      </c>
      <c r="E214" s="26" t="s">
        <v>9</v>
      </c>
      <c r="F214" s="33" t="s">
        <v>180</v>
      </c>
    </row>
    <row r="215" spans="1:6" ht="17" x14ac:dyDescent="0.2">
      <c r="A215" s="13">
        <v>45358</v>
      </c>
      <c r="B215" s="25" t="s">
        <v>22</v>
      </c>
      <c r="C215" s="14" t="s">
        <v>25</v>
      </c>
      <c r="D215" s="15">
        <v>136</v>
      </c>
      <c r="E215" s="14" t="s">
        <v>9</v>
      </c>
      <c r="F215" s="29" t="s">
        <v>182</v>
      </c>
    </row>
    <row r="216" spans="1:6" ht="17" x14ac:dyDescent="0.2">
      <c r="A216" s="16">
        <v>45358</v>
      </c>
      <c r="B216" s="25" t="s">
        <v>22</v>
      </c>
      <c r="C216" s="17" t="s">
        <v>24</v>
      </c>
      <c r="D216" s="18">
        <v>68</v>
      </c>
      <c r="E216" s="17" t="s">
        <v>9</v>
      </c>
      <c r="F216" s="31" t="s">
        <v>183</v>
      </c>
    </row>
    <row r="217" spans="1:6" ht="17" x14ac:dyDescent="0.2">
      <c r="A217" s="19"/>
      <c r="B217" s="25" t="s">
        <v>22</v>
      </c>
      <c r="C217" s="20" t="s">
        <v>106</v>
      </c>
      <c r="D217" s="21">
        <v>42</v>
      </c>
      <c r="E217" s="20" t="s">
        <v>9</v>
      </c>
      <c r="F217" s="34" t="s">
        <v>148</v>
      </c>
    </row>
    <row r="218" spans="1:6" ht="17" x14ac:dyDescent="0.2">
      <c r="A218" s="25"/>
      <c r="B218" s="25" t="s">
        <v>22</v>
      </c>
      <c r="C218" s="26" t="s">
        <v>3</v>
      </c>
      <c r="D218" s="27">
        <v>47</v>
      </c>
      <c r="E218" s="26" t="s">
        <v>9</v>
      </c>
      <c r="F218" s="33" t="s">
        <v>153</v>
      </c>
    </row>
    <row r="219" spans="1:6" ht="17" x14ac:dyDescent="0.2">
      <c r="A219" s="8">
        <v>45359</v>
      </c>
      <c r="B219" s="8" t="s">
        <v>195</v>
      </c>
      <c r="C219" s="2" t="s">
        <v>185</v>
      </c>
      <c r="D219" s="6">
        <v>146</v>
      </c>
      <c r="E219" s="2" t="s">
        <v>9</v>
      </c>
      <c r="F219" s="28" t="s">
        <v>186</v>
      </c>
    </row>
    <row r="220" spans="1:6" ht="17" x14ac:dyDescent="0.2">
      <c r="A220" s="8">
        <v>45359</v>
      </c>
      <c r="B220" s="8" t="s">
        <v>195</v>
      </c>
      <c r="C220" s="2" t="s">
        <v>185</v>
      </c>
      <c r="D220" s="6">
        <v>20</v>
      </c>
      <c r="E220" s="2" t="s">
        <v>9</v>
      </c>
      <c r="F220" s="28" t="s">
        <v>187</v>
      </c>
    </row>
    <row r="221" spans="1:6" ht="17" x14ac:dyDescent="0.2">
      <c r="A221" s="8">
        <v>45362</v>
      </c>
      <c r="B221" s="8" t="s">
        <v>195</v>
      </c>
      <c r="C221" s="2" t="s">
        <v>3</v>
      </c>
      <c r="D221" s="6">
        <v>150</v>
      </c>
      <c r="E221" s="2" t="s">
        <v>9</v>
      </c>
      <c r="F221" s="28" t="s">
        <v>189</v>
      </c>
    </row>
    <row r="222" spans="1:6" ht="17" x14ac:dyDescent="0.2">
      <c r="A222" s="38">
        <v>45364</v>
      </c>
      <c r="B222" s="38" t="s">
        <v>195</v>
      </c>
      <c r="C222" s="39" t="s">
        <v>3</v>
      </c>
      <c r="D222" s="40">
        <v>165</v>
      </c>
      <c r="E222" s="39" t="s">
        <v>9</v>
      </c>
      <c r="F222" s="41" t="s">
        <v>190</v>
      </c>
    </row>
    <row r="223" spans="1:6" ht="17" x14ac:dyDescent="0.2">
      <c r="A223" s="38">
        <v>45365</v>
      </c>
      <c r="B223" s="38" t="s">
        <v>195</v>
      </c>
      <c r="C223" s="39" t="s">
        <v>3</v>
      </c>
      <c r="D223" s="40">
        <v>145</v>
      </c>
      <c r="E223" s="39" t="s">
        <v>9</v>
      </c>
      <c r="F223" s="41" t="s">
        <v>115</v>
      </c>
    </row>
    <row r="224" spans="1:6" ht="17" x14ac:dyDescent="0.2">
      <c r="A224" s="38">
        <v>45365</v>
      </c>
      <c r="B224" s="38" t="s">
        <v>195</v>
      </c>
      <c r="C224" s="39" t="s">
        <v>3</v>
      </c>
      <c r="D224" s="40">
        <v>110</v>
      </c>
      <c r="E224" s="39" t="s">
        <v>9</v>
      </c>
      <c r="F224" s="41" t="s">
        <v>26</v>
      </c>
    </row>
    <row r="225" spans="1:7" ht="17" x14ac:dyDescent="0.2">
      <c r="A225" s="35">
        <v>45366</v>
      </c>
      <c r="B225" s="8" t="s">
        <v>22</v>
      </c>
      <c r="C225" s="2" t="s">
        <v>191</v>
      </c>
      <c r="D225" s="6">
        <v>117.5</v>
      </c>
      <c r="E225" s="2" t="s">
        <v>9</v>
      </c>
      <c r="F225" s="28" t="s">
        <v>188</v>
      </c>
    </row>
    <row r="226" spans="1:7" ht="17" x14ac:dyDescent="0.2">
      <c r="A226" s="35">
        <v>45367</v>
      </c>
      <c r="B226" s="8" t="s">
        <v>22</v>
      </c>
      <c r="C226" s="2" t="s">
        <v>191</v>
      </c>
      <c r="D226" s="6">
        <v>20</v>
      </c>
      <c r="E226" s="2" t="s">
        <v>9</v>
      </c>
      <c r="F226" s="28" t="s">
        <v>193</v>
      </c>
    </row>
    <row r="227" spans="1:7" ht="17" x14ac:dyDescent="0.2">
      <c r="A227" s="35">
        <v>45367</v>
      </c>
      <c r="B227" s="8" t="s">
        <v>22</v>
      </c>
      <c r="C227" s="2" t="s">
        <v>191</v>
      </c>
      <c r="D227" s="6">
        <v>398.5</v>
      </c>
      <c r="E227" s="2" t="s">
        <v>9</v>
      </c>
      <c r="F227" s="28" t="s">
        <v>192</v>
      </c>
    </row>
    <row r="228" spans="1:7" ht="17" x14ac:dyDescent="0.2">
      <c r="A228" s="35">
        <v>45365</v>
      </c>
      <c r="B228" s="8" t="s">
        <v>22</v>
      </c>
      <c r="C228" s="2" t="s">
        <v>11</v>
      </c>
      <c r="D228" s="6">
        <v>145</v>
      </c>
      <c r="E228" s="2" t="s">
        <v>9</v>
      </c>
      <c r="F228" s="28" t="s">
        <v>115</v>
      </c>
    </row>
    <row r="229" spans="1:7" ht="17" x14ac:dyDescent="0.2">
      <c r="A229" s="8">
        <v>45364</v>
      </c>
      <c r="B229" s="8" t="s">
        <v>22</v>
      </c>
      <c r="C229" s="2" t="s">
        <v>106</v>
      </c>
      <c r="D229" s="6">
        <v>165</v>
      </c>
      <c r="E229" s="2" t="s">
        <v>9</v>
      </c>
      <c r="F229" s="28" t="s">
        <v>190</v>
      </c>
    </row>
    <row r="230" spans="1:7" ht="17" x14ac:dyDescent="0.2">
      <c r="A230" s="8">
        <v>45365</v>
      </c>
      <c r="B230" s="8" t="s">
        <v>22</v>
      </c>
      <c r="C230" s="2" t="s">
        <v>106</v>
      </c>
      <c r="D230" s="6">
        <v>110</v>
      </c>
      <c r="E230" s="2" t="s">
        <v>9</v>
      </c>
      <c r="F230" s="28" t="s">
        <v>26</v>
      </c>
    </row>
    <row r="231" spans="1:7" ht="17" x14ac:dyDescent="0.2">
      <c r="A231" s="8">
        <v>45361</v>
      </c>
      <c r="B231" s="8" t="s">
        <v>22</v>
      </c>
      <c r="C231" s="2" t="s">
        <v>24</v>
      </c>
      <c r="D231" s="6">
        <v>135</v>
      </c>
      <c r="E231" s="2" t="s">
        <v>9</v>
      </c>
      <c r="F231" s="28" t="s">
        <v>121</v>
      </c>
    </row>
    <row r="232" spans="1:7" ht="17" x14ac:dyDescent="0.2">
      <c r="A232" s="8">
        <v>45362</v>
      </c>
      <c r="B232" s="35" t="s">
        <v>22</v>
      </c>
      <c r="C232" s="2" t="s">
        <v>24</v>
      </c>
      <c r="D232" s="36">
        <v>100</v>
      </c>
      <c r="E232" s="2" t="s">
        <v>9</v>
      </c>
      <c r="F232" s="37" t="s">
        <v>188</v>
      </c>
    </row>
    <row r="233" spans="1:7" ht="17" x14ac:dyDescent="0.2">
      <c r="A233" s="8">
        <v>45364</v>
      </c>
      <c r="B233" s="35" t="s">
        <v>22</v>
      </c>
      <c r="C233" s="2" t="s">
        <v>24</v>
      </c>
      <c r="D233" s="6">
        <v>165</v>
      </c>
      <c r="E233" s="2" t="s">
        <v>9</v>
      </c>
      <c r="F233" s="28" t="s">
        <v>190</v>
      </c>
    </row>
    <row r="234" spans="1:7" ht="17" x14ac:dyDescent="0.2">
      <c r="A234" s="8">
        <v>45364</v>
      </c>
      <c r="B234" s="35" t="s">
        <v>22</v>
      </c>
      <c r="C234" s="2" t="s">
        <v>24</v>
      </c>
      <c r="D234" s="6">
        <v>100</v>
      </c>
      <c r="E234" s="2" t="s">
        <v>9</v>
      </c>
      <c r="F234" s="28" t="s">
        <v>29</v>
      </c>
    </row>
    <row r="235" spans="1:7" ht="17" x14ac:dyDescent="0.2">
      <c r="A235" s="8">
        <v>45424</v>
      </c>
      <c r="B235" s="8" t="s">
        <v>195</v>
      </c>
      <c r="C235" s="2" t="s">
        <v>36</v>
      </c>
      <c r="D235" s="6">
        <v>84</v>
      </c>
      <c r="E235" s="2" t="s">
        <v>9</v>
      </c>
      <c r="F235" s="28" t="s">
        <v>199</v>
      </c>
    </row>
    <row r="236" spans="1:7" ht="17" x14ac:dyDescent="0.2">
      <c r="A236" s="8">
        <v>45408</v>
      </c>
      <c r="B236" s="8" t="s">
        <v>195</v>
      </c>
      <c r="C236" s="2" t="s">
        <v>242</v>
      </c>
      <c r="D236" s="6">
        <v>1000</v>
      </c>
      <c r="E236" s="2" t="s">
        <v>219</v>
      </c>
      <c r="F236" s="28" t="s">
        <v>243</v>
      </c>
    </row>
    <row r="237" spans="1:7" ht="17" x14ac:dyDescent="0.2">
      <c r="A237" s="8">
        <v>45583</v>
      </c>
      <c r="B237" s="8" t="s">
        <v>22</v>
      </c>
      <c r="C237" s="2" t="s">
        <v>289</v>
      </c>
      <c r="D237" s="6">
        <v>1000</v>
      </c>
      <c r="F237" s="28" t="s">
        <v>365</v>
      </c>
      <c r="G237" s="2" t="s">
        <v>366</v>
      </c>
    </row>
    <row r="238" spans="1:7" ht="17" x14ac:dyDescent="0.2">
      <c r="A238" s="8">
        <v>45619</v>
      </c>
      <c r="B238" s="8" t="s">
        <v>22</v>
      </c>
      <c r="C238" s="2" t="s">
        <v>385</v>
      </c>
      <c r="D238" s="6">
        <v>4000</v>
      </c>
      <c r="F238" s="28" t="s">
        <v>386</v>
      </c>
      <c r="G238" s="2" t="s">
        <v>384</v>
      </c>
    </row>
    <row r="239" spans="1:7" ht="17" x14ac:dyDescent="0.2">
      <c r="A239" s="8">
        <v>45384</v>
      </c>
      <c r="B239" s="8" t="s">
        <v>22</v>
      </c>
      <c r="C239" s="2" t="s">
        <v>37</v>
      </c>
      <c r="D239" s="6">
        <v>60</v>
      </c>
      <c r="E239" s="2" t="s">
        <v>9</v>
      </c>
      <c r="F239" s="28" t="s">
        <v>196</v>
      </c>
    </row>
    <row r="240" spans="1:7" ht="17" x14ac:dyDescent="0.2">
      <c r="A240" s="8">
        <v>45390</v>
      </c>
      <c r="B240" s="8" t="s">
        <v>22</v>
      </c>
      <c r="C240" s="2" t="s">
        <v>37</v>
      </c>
      <c r="D240" s="6">
        <v>20</v>
      </c>
      <c r="E240" s="2" t="s">
        <v>9</v>
      </c>
      <c r="F240" s="28" t="s">
        <v>201</v>
      </c>
    </row>
    <row r="241" spans="1:12" ht="17" x14ac:dyDescent="0.2">
      <c r="A241" s="8">
        <v>45390</v>
      </c>
      <c r="B241" s="8" t="s">
        <v>22</v>
      </c>
      <c r="C241" s="2" t="s">
        <v>37</v>
      </c>
      <c r="D241" s="6">
        <v>67</v>
      </c>
      <c r="E241" s="2" t="s">
        <v>9</v>
      </c>
      <c r="F241" s="28" t="s">
        <v>8</v>
      </c>
    </row>
    <row r="242" spans="1:12" ht="17" x14ac:dyDescent="0.2">
      <c r="A242" s="8">
        <v>45395</v>
      </c>
      <c r="B242" s="8" t="s">
        <v>22</v>
      </c>
      <c r="C242" s="2" t="s">
        <v>37</v>
      </c>
      <c r="D242" s="6">
        <v>34</v>
      </c>
      <c r="E242" s="2" t="s">
        <v>5</v>
      </c>
      <c r="F242" s="28" t="s">
        <v>220</v>
      </c>
    </row>
    <row r="243" spans="1:12" ht="17" x14ac:dyDescent="0.2">
      <c r="A243" s="8">
        <v>45398</v>
      </c>
      <c r="B243" s="8" t="s">
        <v>22</v>
      </c>
      <c r="C243" s="2" t="s">
        <v>37</v>
      </c>
      <c r="D243" s="6">
        <v>30</v>
      </c>
      <c r="E243" s="2" t="s">
        <v>9</v>
      </c>
      <c r="F243" s="28" t="s">
        <v>224</v>
      </c>
      <c r="H243" s="8" t="s">
        <v>214</v>
      </c>
      <c r="I243" s="6">
        <v>951</v>
      </c>
      <c r="L243" s="2"/>
    </row>
    <row r="244" spans="1:12" ht="17" x14ac:dyDescent="0.2">
      <c r="A244" s="8">
        <v>45398</v>
      </c>
      <c r="B244" s="8" t="s">
        <v>22</v>
      </c>
      <c r="C244" s="2" t="s">
        <v>37</v>
      </c>
      <c r="D244" s="6">
        <v>84</v>
      </c>
      <c r="E244" s="2" t="s">
        <v>9</v>
      </c>
      <c r="F244" s="28" t="s">
        <v>222</v>
      </c>
      <c r="H244" s="8" t="s">
        <v>215</v>
      </c>
      <c r="I244" s="6">
        <v>415</v>
      </c>
      <c r="L244" s="2"/>
    </row>
    <row r="245" spans="1:12" ht="17" x14ac:dyDescent="0.2">
      <c r="A245" s="8">
        <v>45428</v>
      </c>
      <c r="B245" s="8" t="s">
        <v>22</v>
      </c>
      <c r="C245" s="2" t="s">
        <v>37</v>
      </c>
      <c r="D245" s="6">
        <v>34</v>
      </c>
      <c r="E245" s="2" t="s">
        <v>5</v>
      </c>
      <c r="F245" s="28" t="s">
        <v>253</v>
      </c>
      <c r="H245" s="8" t="s">
        <v>217</v>
      </c>
      <c r="I245" s="6">
        <v>100</v>
      </c>
      <c r="L245" s="2"/>
    </row>
    <row r="246" spans="1:12" ht="17" x14ac:dyDescent="0.2">
      <c r="A246" s="8">
        <v>45486</v>
      </c>
      <c r="B246" s="8" t="s">
        <v>22</v>
      </c>
      <c r="C246" s="2" t="s">
        <v>37</v>
      </c>
      <c r="D246" s="6">
        <v>68</v>
      </c>
      <c r="F246" s="28" t="s">
        <v>254</v>
      </c>
      <c r="H246" s="8" t="s">
        <v>204</v>
      </c>
      <c r="I246" s="6">
        <v>120</v>
      </c>
      <c r="L246" s="2"/>
    </row>
    <row r="247" spans="1:12" ht="17" x14ac:dyDescent="0.2">
      <c r="A247" s="8">
        <v>45486</v>
      </c>
      <c r="B247" s="8" t="s">
        <v>22</v>
      </c>
      <c r="C247" s="2" t="s">
        <v>37</v>
      </c>
      <c r="D247" s="6">
        <v>375</v>
      </c>
      <c r="F247" s="28" t="s">
        <v>255</v>
      </c>
      <c r="H247" s="8" t="s">
        <v>216</v>
      </c>
      <c r="I247" s="6">
        <v>948</v>
      </c>
      <c r="L247" s="2"/>
    </row>
    <row r="248" spans="1:12" ht="17" x14ac:dyDescent="0.2">
      <c r="A248" s="8">
        <v>45507</v>
      </c>
      <c r="B248" s="8" t="s">
        <v>22</v>
      </c>
      <c r="C248" s="2" t="s">
        <v>37</v>
      </c>
      <c r="D248" s="6">
        <v>90</v>
      </c>
      <c r="F248" s="28" t="s">
        <v>261</v>
      </c>
      <c r="G248" s="2" t="s">
        <v>420</v>
      </c>
      <c r="H248" s="8" t="s">
        <v>205</v>
      </c>
      <c r="I248" s="6">
        <v>240</v>
      </c>
      <c r="L248" s="2"/>
    </row>
    <row r="249" spans="1:12" ht="17" x14ac:dyDescent="0.2">
      <c r="A249" s="8">
        <v>45507</v>
      </c>
      <c r="B249" s="8" t="s">
        <v>22</v>
      </c>
      <c r="C249" s="2" t="s">
        <v>37</v>
      </c>
      <c r="D249" s="6">
        <v>275</v>
      </c>
      <c r="F249" s="28" t="s">
        <v>262</v>
      </c>
      <c r="H249" s="8" t="s">
        <v>208</v>
      </c>
      <c r="I249" s="6">
        <v>310</v>
      </c>
      <c r="L249" s="2"/>
    </row>
    <row r="250" spans="1:12" ht="17" x14ac:dyDescent="0.2">
      <c r="A250" s="8">
        <v>45519</v>
      </c>
      <c r="B250" s="8" t="s">
        <v>22</v>
      </c>
      <c r="C250" s="2" t="s">
        <v>37</v>
      </c>
      <c r="D250" s="6">
        <v>34</v>
      </c>
      <c r="F250" s="28" t="s">
        <v>300</v>
      </c>
      <c r="H250" s="8" t="s">
        <v>209</v>
      </c>
      <c r="I250" s="6">
        <v>680</v>
      </c>
      <c r="L250" s="2"/>
    </row>
    <row r="251" spans="1:12" ht="17" x14ac:dyDescent="0.2">
      <c r="A251" s="8">
        <v>45533</v>
      </c>
      <c r="B251" s="8" t="s">
        <v>22</v>
      </c>
      <c r="C251" s="2" t="s">
        <v>37</v>
      </c>
      <c r="D251" s="6">
        <v>156</v>
      </c>
      <c r="F251" s="28" t="s">
        <v>296</v>
      </c>
      <c r="H251" s="8" t="s">
        <v>213</v>
      </c>
      <c r="I251" s="6">
        <v>110</v>
      </c>
      <c r="L251" s="2"/>
    </row>
    <row r="252" spans="1:12" ht="17" x14ac:dyDescent="0.2">
      <c r="A252" s="8">
        <v>45550</v>
      </c>
      <c r="B252" s="8" t="s">
        <v>22</v>
      </c>
      <c r="C252" s="2" t="s">
        <v>37</v>
      </c>
      <c r="D252" s="6">
        <v>34</v>
      </c>
      <c r="F252" s="28" t="s">
        <v>320</v>
      </c>
      <c r="H252" s="8" t="s">
        <v>212</v>
      </c>
      <c r="I252" s="6">
        <v>220</v>
      </c>
    </row>
    <row r="253" spans="1:12" ht="17" x14ac:dyDescent="0.2">
      <c r="A253" s="8">
        <v>45555</v>
      </c>
      <c r="B253" s="8" t="s">
        <v>22</v>
      </c>
      <c r="C253" s="2" t="s">
        <v>37</v>
      </c>
      <c r="D253" s="6">
        <v>250</v>
      </c>
      <c r="F253" s="28" t="s">
        <v>326</v>
      </c>
      <c r="H253" s="8" t="s">
        <v>210</v>
      </c>
      <c r="I253" s="6">
        <v>6463.6</v>
      </c>
      <c r="L253" s="2"/>
    </row>
    <row r="254" spans="1:12" ht="17" x14ac:dyDescent="0.2">
      <c r="A254" s="8">
        <v>45555</v>
      </c>
      <c r="B254" s="8" t="s">
        <v>22</v>
      </c>
      <c r="C254" s="2" t="s">
        <v>37</v>
      </c>
      <c r="D254" s="6">
        <v>120</v>
      </c>
      <c r="F254" s="28" t="s">
        <v>327</v>
      </c>
      <c r="H254" s="8" t="s">
        <v>211</v>
      </c>
      <c r="I254" s="6">
        <v>195</v>
      </c>
      <c r="L254" s="2"/>
    </row>
    <row r="255" spans="1:12" ht="17" x14ac:dyDescent="0.2">
      <c r="A255" s="8">
        <v>45555</v>
      </c>
      <c r="B255" s="8" t="s">
        <v>22</v>
      </c>
      <c r="C255" s="2" t="s">
        <v>37</v>
      </c>
      <c r="D255" s="6">
        <v>175</v>
      </c>
      <c r="F255" s="28" t="s">
        <v>51</v>
      </c>
      <c r="H255" s="8" t="s">
        <v>206</v>
      </c>
      <c r="I255" s="6">
        <v>500</v>
      </c>
      <c r="K255" s="6"/>
      <c r="L255" s="2"/>
    </row>
    <row r="256" spans="1:12" ht="17" x14ac:dyDescent="0.2">
      <c r="A256" s="8">
        <v>45556</v>
      </c>
      <c r="B256" s="8" t="s">
        <v>22</v>
      </c>
      <c r="C256" s="2" t="s">
        <v>37</v>
      </c>
      <c r="D256" s="6">
        <v>46</v>
      </c>
      <c r="F256" s="28" t="s">
        <v>331</v>
      </c>
      <c r="I256" s="6"/>
      <c r="K256" s="6"/>
      <c r="L256" s="2"/>
    </row>
    <row r="257" spans="1:12" ht="17" x14ac:dyDescent="0.2">
      <c r="A257" s="8">
        <v>45580</v>
      </c>
      <c r="B257" s="8" t="s">
        <v>22</v>
      </c>
      <c r="C257" s="2" t="s">
        <v>37</v>
      </c>
      <c r="D257" s="6">
        <v>34</v>
      </c>
      <c r="F257" s="28" t="s">
        <v>415</v>
      </c>
      <c r="H257" s="8" t="s">
        <v>225</v>
      </c>
      <c r="I257" s="6">
        <v>1470</v>
      </c>
      <c r="K257" s="6"/>
      <c r="L257" s="2"/>
    </row>
    <row r="258" spans="1:12" ht="17" x14ac:dyDescent="0.2">
      <c r="A258" s="8">
        <v>45586</v>
      </c>
      <c r="B258" s="8" t="s">
        <v>22</v>
      </c>
      <c r="C258" s="2" t="s">
        <v>37</v>
      </c>
      <c r="D258" s="6">
        <v>265</v>
      </c>
      <c r="F258" s="28" t="s">
        <v>350</v>
      </c>
      <c r="H258" s="8" t="s">
        <v>226</v>
      </c>
      <c r="I258" s="6">
        <v>1946</v>
      </c>
      <c r="K258" s="6"/>
      <c r="L258" s="2"/>
    </row>
    <row r="259" spans="1:12" ht="17" x14ac:dyDescent="0.2">
      <c r="A259" s="8">
        <v>45611</v>
      </c>
      <c r="B259" s="8" t="s">
        <v>22</v>
      </c>
      <c r="C259" s="2" t="s">
        <v>37</v>
      </c>
      <c r="D259" s="6">
        <v>34</v>
      </c>
      <c r="F259" s="28" t="s">
        <v>416</v>
      </c>
      <c r="H259" s="8" t="s">
        <v>227</v>
      </c>
      <c r="I259" s="6">
        <v>155</v>
      </c>
      <c r="K259" s="6"/>
      <c r="L259" s="2"/>
    </row>
    <row r="260" spans="1:12" ht="17" x14ac:dyDescent="0.2">
      <c r="A260" s="8">
        <v>45626</v>
      </c>
      <c r="B260" s="8" t="s">
        <v>22</v>
      </c>
      <c r="C260" s="2" t="s">
        <v>37</v>
      </c>
      <c r="D260" s="6">
        <v>761</v>
      </c>
      <c r="F260" s="28" t="s">
        <v>372</v>
      </c>
      <c r="H260" s="8" t="s">
        <v>228</v>
      </c>
      <c r="I260" s="6">
        <v>645</v>
      </c>
      <c r="K260" s="6"/>
      <c r="L260" s="2"/>
    </row>
    <row r="261" spans="1:12" ht="17" x14ac:dyDescent="0.2">
      <c r="A261" s="8">
        <v>45638</v>
      </c>
      <c r="B261" s="8" t="s">
        <v>22</v>
      </c>
      <c r="C261" s="2" t="s">
        <v>37</v>
      </c>
      <c r="D261" s="6">
        <v>80</v>
      </c>
      <c r="F261" s="28" t="s">
        <v>205</v>
      </c>
      <c r="K261" s="6"/>
      <c r="L261" s="6"/>
    </row>
    <row r="262" spans="1:12" ht="17" x14ac:dyDescent="0.2">
      <c r="A262" s="8">
        <v>45639</v>
      </c>
      <c r="B262" s="8" t="s">
        <v>22</v>
      </c>
      <c r="C262" s="2" t="s">
        <v>37</v>
      </c>
      <c r="D262" s="6">
        <v>465</v>
      </c>
      <c r="F262" s="28" t="s">
        <v>410</v>
      </c>
      <c r="K262" s="6"/>
    </row>
    <row r="263" spans="1:12" ht="17" x14ac:dyDescent="0.2">
      <c r="A263" s="8">
        <v>45641</v>
      </c>
      <c r="B263" s="8" t="s">
        <v>22</v>
      </c>
      <c r="C263" s="2" t="s">
        <v>37</v>
      </c>
      <c r="D263" s="6">
        <v>34</v>
      </c>
      <c r="F263" s="28" t="s">
        <v>414</v>
      </c>
      <c r="H263" s="8" t="s">
        <v>207</v>
      </c>
      <c r="I263" s="6">
        <f>SUM(I243:I260)</f>
        <v>15468.6</v>
      </c>
      <c r="K263" s="6"/>
    </row>
    <row r="264" spans="1:12" x14ac:dyDescent="0.2">
      <c r="A264" s="8">
        <v>45669</v>
      </c>
      <c r="B264" s="8" t="s">
        <v>22</v>
      </c>
      <c r="C264" s="2" t="s">
        <v>37</v>
      </c>
      <c r="D264" s="6">
        <v>408</v>
      </c>
      <c r="K264" s="6"/>
    </row>
    <row r="265" spans="1:12" ht="17" x14ac:dyDescent="0.2">
      <c r="A265" s="8">
        <v>45517</v>
      </c>
      <c r="B265" s="8" t="s">
        <v>22</v>
      </c>
      <c r="C265" s="2" t="s">
        <v>274</v>
      </c>
      <c r="D265" s="6">
        <v>80</v>
      </c>
      <c r="F265" s="28" t="s">
        <v>275</v>
      </c>
    </row>
    <row r="266" spans="1:12" ht="34" x14ac:dyDescent="0.2">
      <c r="A266" s="8">
        <v>45551</v>
      </c>
      <c r="B266" s="8" t="s">
        <v>22</v>
      </c>
      <c r="C266" s="2" t="s">
        <v>274</v>
      </c>
      <c r="D266" s="6">
        <v>175</v>
      </c>
      <c r="F266" s="28" t="s">
        <v>317</v>
      </c>
    </row>
    <row r="267" spans="1:12" ht="19" x14ac:dyDescent="0.2">
      <c r="A267" s="8">
        <v>45555</v>
      </c>
      <c r="B267" s="8" t="s">
        <v>22</v>
      </c>
      <c r="C267" s="2" t="s">
        <v>274</v>
      </c>
      <c r="D267" s="6">
        <v>250</v>
      </c>
      <c r="F267" s="28" t="s">
        <v>326</v>
      </c>
      <c r="H267" s="52" t="s">
        <v>229</v>
      </c>
      <c r="I267" s="52"/>
      <c r="J267" s="52"/>
      <c r="K267" s="52"/>
    </row>
    <row r="268" spans="1:12" ht="17" x14ac:dyDescent="0.2">
      <c r="A268" s="8">
        <v>45555</v>
      </c>
      <c r="B268" s="8" t="s">
        <v>22</v>
      </c>
      <c r="C268" s="2" t="s">
        <v>274</v>
      </c>
      <c r="D268" s="6">
        <v>120</v>
      </c>
      <c r="F268" s="28" t="s">
        <v>327</v>
      </c>
    </row>
    <row r="269" spans="1:12" ht="17" x14ac:dyDescent="0.2">
      <c r="A269" s="8">
        <v>45560</v>
      </c>
      <c r="B269" s="8" t="s">
        <v>22</v>
      </c>
      <c r="C269" s="2" t="s">
        <v>274</v>
      </c>
      <c r="D269" s="6">
        <v>550</v>
      </c>
      <c r="F269" s="28" t="s">
        <v>340</v>
      </c>
      <c r="H269" s="43" t="s">
        <v>230</v>
      </c>
      <c r="I269" s="44" t="s">
        <v>1</v>
      </c>
      <c r="J269" s="42" t="s">
        <v>231</v>
      </c>
      <c r="K269" s="44" t="s">
        <v>232</v>
      </c>
    </row>
    <row r="270" spans="1:12" ht="17" x14ac:dyDescent="0.2">
      <c r="A270" s="8">
        <v>45561</v>
      </c>
      <c r="B270" s="8" t="s">
        <v>22</v>
      </c>
      <c r="C270" s="2" t="s">
        <v>274</v>
      </c>
      <c r="D270" s="6">
        <v>150</v>
      </c>
      <c r="F270" s="28" t="s">
        <v>342</v>
      </c>
    </row>
    <row r="271" spans="1:12" ht="17" x14ac:dyDescent="0.2">
      <c r="A271" s="8">
        <v>45565</v>
      </c>
      <c r="B271" s="8" t="s">
        <v>22</v>
      </c>
      <c r="C271" s="2" t="s">
        <v>274</v>
      </c>
      <c r="D271" s="6">
        <v>60</v>
      </c>
      <c r="F271" s="28" t="s">
        <v>261</v>
      </c>
      <c r="H271" s="8" t="s">
        <v>233</v>
      </c>
      <c r="I271" s="2">
        <v>733</v>
      </c>
      <c r="J271" s="6" t="s">
        <v>234</v>
      </c>
      <c r="K271" s="2" t="s">
        <v>248</v>
      </c>
    </row>
    <row r="272" spans="1:12" ht="17" x14ac:dyDescent="0.2">
      <c r="A272" s="8">
        <v>45565</v>
      </c>
      <c r="B272" s="8" t="s">
        <v>22</v>
      </c>
      <c r="C272" s="2" t="s">
        <v>274</v>
      </c>
      <c r="D272" s="6">
        <v>50</v>
      </c>
      <c r="F272" s="28" t="s">
        <v>349</v>
      </c>
      <c r="H272" s="8" t="s">
        <v>235</v>
      </c>
      <c r="I272" s="2">
        <v>9659</v>
      </c>
      <c r="J272" s="6" t="s">
        <v>234</v>
      </c>
      <c r="K272" s="2" t="s">
        <v>248</v>
      </c>
    </row>
    <row r="273" spans="1:12" ht="17" x14ac:dyDescent="0.2">
      <c r="A273" s="8">
        <v>45586</v>
      </c>
      <c r="B273" s="8" t="s">
        <v>22</v>
      </c>
      <c r="C273" s="2" t="s">
        <v>274</v>
      </c>
      <c r="D273" s="6">
        <v>265</v>
      </c>
      <c r="F273" s="28" t="s">
        <v>350</v>
      </c>
      <c r="H273" s="8" t="s">
        <v>236</v>
      </c>
      <c r="I273" s="2">
        <v>4009.6</v>
      </c>
      <c r="J273" s="6" t="s">
        <v>234</v>
      </c>
      <c r="K273" s="2" t="s">
        <v>248</v>
      </c>
      <c r="L273" s="7" t="s">
        <v>244</v>
      </c>
    </row>
    <row r="274" spans="1:12" ht="17" x14ac:dyDescent="0.2">
      <c r="A274" s="8">
        <v>45602</v>
      </c>
      <c r="B274" s="8" t="s">
        <v>22</v>
      </c>
      <c r="C274" s="2" t="s">
        <v>274</v>
      </c>
      <c r="D274" s="6">
        <v>60</v>
      </c>
      <c r="F274" s="28" t="s">
        <v>401</v>
      </c>
      <c r="H274" s="8" t="s">
        <v>237</v>
      </c>
      <c r="I274" s="2">
        <v>339</v>
      </c>
      <c r="J274" s="6" t="s">
        <v>238</v>
      </c>
      <c r="K274" s="2" t="s">
        <v>250</v>
      </c>
    </row>
    <row r="275" spans="1:12" ht="17" x14ac:dyDescent="0.2">
      <c r="A275" s="8">
        <v>45625</v>
      </c>
      <c r="B275" s="8" t="s">
        <v>22</v>
      </c>
      <c r="C275" s="2" t="s">
        <v>274</v>
      </c>
      <c r="D275" s="6">
        <v>95</v>
      </c>
      <c r="F275" s="28" t="s">
        <v>360</v>
      </c>
      <c r="H275" s="8" t="s">
        <v>239</v>
      </c>
      <c r="I275" s="2">
        <v>1160</v>
      </c>
      <c r="J275" s="6" t="s">
        <v>240</v>
      </c>
      <c r="K275" s="2" t="s">
        <v>250</v>
      </c>
    </row>
    <row r="276" spans="1:12" ht="17" x14ac:dyDescent="0.2">
      <c r="A276" s="8">
        <v>45626</v>
      </c>
      <c r="B276" s="8" t="s">
        <v>22</v>
      </c>
      <c r="C276" s="2" t="s">
        <v>274</v>
      </c>
      <c r="D276" s="6">
        <v>140</v>
      </c>
      <c r="F276" s="28" t="s">
        <v>371</v>
      </c>
      <c r="H276" s="8" t="s">
        <v>241</v>
      </c>
      <c r="I276" s="2">
        <v>1000</v>
      </c>
      <c r="J276" s="6" t="s">
        <v>242</v>
      </c>
      <c r="K276" s="6" t="s">
        <v>242</v>
      </c>
    </row>
    <row r="277" spans="1:12" ht="17" x14ac:dyDescent="0.2">
      <c r="A277" s="8">
        <v>45555</v>
      </c>
      <c r="B277" s="8" t="s">
        <v>22</v>
      </c>
      <c r="C277" s="2" t="s">
        <v>328</v>
      </c>
      <c r="D277" s="6">
        <v>250</v>
      </c>
      <c r="F277" s="28" t="s">
        <v>326</v>
      </c>
      <c r="G277" s="2" t="s">
        <v>419</v>
      </c>
      <c r="H277" s="8" t="s">
        <v>245</v>
      </c>
      <c r="I277" s="2">
        <v>1122</v>
      </c>
      <c r="J277" s="6" t="s">
        <v>5</v>
      </c>
      <c r="K277" s="2" t="s">
        <v>250</v>
      </c>
    </row>
    <row r="278" spans="1:12" ht="17" x14ac:dyDescent="0.2">
      <c r="A278" s="8">
        <v>45555</v>
      </c>
      <c r="B278" s="8" t="s">
        <v>22</v>
      </c>
      <c r="C278" s="2" t="s">
        <v>328</v>
      </c>
      <c r="D278" s="6">
        <v>120</v>
      </c>
      <c r="F278" s="28" t="s">
        <v>327</v>
      </c>
      <c r="H278" s="8" t="s">
        <v>249</v>
      </c>
      <c r="I278" s="2">
        <v>1250</v>
      </c>
      <c r="J278" s="6" t="s">
        <v>238</v>
      </c>
      <c r="K278" s="2" t="s">
        <v>250</v>
      </c>
      <c r="L278" s="7" t="s">
        <v>251</v>
      </c>
    </row>
    <row r="279" spans="1:12" ht="19" x14ac:dyDescent="0.2">
      <c r="A279" s="8">
        <v>45555</v>
      </c>
      <c r="B279" s="8" t="s">
        <v>22</v>
      </c>
      <c r="C279" s="2" t="s">
        <v>328</v>
      </c>
      <c r="D279" s="6">
        <v>175</v>
      </c>
      <c r="F279" s="28" t="s">
        <v>51</v>
      </c>
      <c r="H279" s="52"/>
      <c r="I279" s="52"/>
      <c r="J279" s="52"/>
      <c r="K279" s="52"/>
    </row>
    <row r="280" spans="1:12" ht="17" x14ac:dyDescent="0.2">
      <c r="A280" s="8">
        <v>45556</v>
      </c>
      <c r="B280" s="8" t="s">
        <v>22</v>
      </c>
      <c r="C280" s="2" t="s">
        <v>328</v>
      </c>
      <c r="D280" s="6">
        <v>46</v>
      </c>
      <c r="F280" s="28" t="s">
        <v>331</v>
      </c>
    </row>
    <row r="281" spans="1:12" ht="17" x14ac:dyDescent="0.2">
      <c r="A281" s="8">
        <v>45561</v>
      </c>
      <c r="B281" s="8" t="s">
        <v>22</v>
      </c>
      <c r="C281" s="2" t="s">
        <v>328</v>
      </c>
      <c r="D281" s="6">
        <v>150</v>
      </c>
      <c r="F281" s="28" t="s">
        <v>342</v>
      </c>
      <c r="H281" s="43"/>
      <c r="I281" s="44"/>
      <c r="J281" s="42"/>
      <c r="K281" s="44"/>
    </row>
    <row r="282" spans="1:12" ht="17" x14ac:dyDescent="0.2">
      <c r="A282" s="8">
        <v>45586</v>
      </c>
      <c r="B282" s="8" t="s">
        <v>22</v>
      </c>
      <c r="C282" s="2" t="s">
        <v>328</v>
      </c>
      <c r="D282" s="6">
        <v>265</v>
      </c>
      <c r="F282" s="28" t="s">
        <v>350</v>
      </c>
    </row>
    <row r="283" spans="1:12" ht="17" x14ac:dyDescent="0.2">
      <c r="A283" s="8">
        <v>45602</v>
      </c>
      <c r="B283" s="8" t="s">
        <v>22</v>
      </c>
      <c r="C283" s="2" t="s">
        <v>328</v>
      </c>
      <c r="D283" s="6">
        <v>60</v>
      </c>
      <c r="F283" s="28" t="s">
        <v>401</v>
      </c>
    </row>
    <row r="284" spans="1:12" ht="17" x14ac:dyDescent="0.2">
      <c r="A284" s="8">
        <v>45625</v>
      </c>
      <c r="B284" s="8" t="s">
        <v>22</v>
      </c>
      <c r="C284" s="2" t="s">
        <v>328</v>
      </c>
      <c r="D284" s="6">
        <v>120</v>
      </c>
      <c r="F284" s="28" t="s">
        <v>369</v>
      </c>
    </row>
    <row r="285" spans="1:12" ht="17" x14ac:dyDescent="0.2">
      <c r="A285" s="8">
        <v>45625</v>
      </c>
      <c r="B285" s="8" t="s">
        <v>22</v>
      </c>
      <c r="C285" s="2" t="s">
        <v>328</v>
      </c>
      <c r="D285" s="6">
        <v>95</v>
      </c>
      <c r="F285" s="28" t="s">
        <v>360</v>
      </c>
    </row>
    <row r="286" spans="1:12" ht="17" x14ac:dyDescent="0.2">
      <c r="A286" s="8">
        <v>45626</v>
      </c>
      <c r="B286" s="8" t="s">
        <v>22</v>
      </c>
      <c r="C286" s="2" t="s">
        <v>328</v>
      </c>
      <c r="D286" s="6">
        <v>761</v>
      </c>
      <c r="F286" s="28" t="s">
        <v>372</v>
      </c>
    </row>
    <row r="287" spans="1:12" ht="17" x14ac:dyDescent="0.2">
      <c r="A287" s="8">
        <v>45626</v>
      </c>
      <c r="B287" s="8" t="s">
        <v>22</v>
      </c>
      <c r="C287" s="2" t="s">
        <v>328</v>
      </c>
      <c r="D287" s="6">
        <v>95</v>
      </c>
      <c r="F287" s="28" t="s">
        <v>360</v>
      </c>
    </row>
    <row r="288" spans="1:12" ht="17" x14ac:dyDescent="0.2">
      <c r="A288" s="8">
        <v>45638</v>
      </c>
      <c r="B288" s="8" t="s">
        <v>22</v>
      </c>
      <c r="C288" s="2" t="s">
        <v>328</v>
      </c>
      <c r="D288" s="6">
        <v>80</v>
      </c>
      <c r="F288" s="28" t="s">
        <v>205</v>
      </c>
    </row>
    <row r="289" spans="1:6" x14ac:dyDescent="0.2">
      <c r="A289" s="8">
        <v>45663</v>
      </c>
      <c r="B289" s="8" t="s">
        <v>22</v>
      </c>
      <c r="C289" s="2" t="s">
        <v>328</v>
      </c>
      <c r="D289" s="6">
        <v>850</v>
      </c>
    </row>
    <row r="290" spans="1:6" ht="17" x14ac:dyDescent="0.2">
      <c r="A290" s="8">
        <v>45364</v>
      </c>
      <c r="B290" s="8" t="s">
        <v>22</v>
      </c>
      <c r="C290" s="2" t="s">
        <v>25</v>
      </c>
      <c r="D290" s="6">
        <v>165</v>
      </c>
      <c r="E290" s="2" t="s">
        <v>9</v>
      </c>
      <c r="F290" s="28" t="s">
        <v>190</v>
      </c>
    </row>
    <row r="291" spans="1:6" ht="17" x14ac:dyDescent="0.2">
      <c r="A291" s="8">
        <v>45366</v>
      </c>
      <c r="B291" s="8" t="s">
        <v>22</v>
      </c>
      <c r="C291" s="2" t="s">
        <v>25</v>
      </c>
      <c r="D291" s="6">
        <v>117.5</v>
      </c>
      <c r="E291" s="2" t="s">
        <v>9</v>
      </c>
      <c r="F291" s="28" t="s">
        <v>188</v>
      </c>
    </row>
    <row r="292" spans="1:6" ht="17" x14ac:dyDescent="0.2">
      <c r="A292" s="8">
        <v>45395</v>
      </c>
      <c r="B292" s="8" t="s">
        <v>22</v>
      </c>
      <c r="C292" s="2" t="s">
        <v>25</v>
      </c>
      <c r="D292" s="6">
        <v>34</v>
      </c>
      <c r="E292" s="2" t="s">
        <v>5</v>
      </c>
      <c r="F292" s="28" t="s">
        <v>220</v>
      </c>
    </row>
    <row r="293" spans="1:6" ht="17" x14ac:dyDescent="0.2">
      <c r="A293" s="8">
        <v>45428</v>
      </c>
      <c r="B293" s="8" t="s">
        <v>22</v>
      </c>
      <c r="C293" s="2" t="s">
        <v>25</v>
      </c>
      <c r="D293" s="6">
        <v>34</v>
      </c>
      <c r="E293" s="2" t="s">
        <v>5</v>
      </c>
      <c r="F293" s="28" t="s">
        <v>253</v>
      </c>
    </row>
    <row r="294" spans="1:6" ht="17" x14ac:dyDescent="0.2">
      <c r="A294" s="8">
        <v>45486</v>
      </c>
      <c r="B294" s="8" t="s">
        <v>22</v>
      </c>
      <c r="C294" s="2" t="s">
        <v>25</v>
      </c>
      <c r="D294" s="6">
        <v>68</v>
      </c>
      <c r="F294" s="28" t="s">
        <v>254</v>
      </c>
    </row>
    <row r="295" spans="1:6" ht="17" x14ac:dyDescent="0.2">
      <c r="A295" s="8">
        <v>45519</v>
      </c>
      <c r="B295" s="8" t="s">
        <v>22</v>
      </c>
      <c r="C295" s="2" t="s">
        <v>25</v>
      </c>
      <c r="D295" s="6">
        <v>34</v>
      </c>
      <c r="F295" s="28" t="s">
        <v>300</v>
      </c>
    </row>
    <row r="296" spans="1:6" ht="17" x14ac:dyDescent="0.2">
      <c r="A296" s="8">
        <v>45550</v>
      </c>
      <c r="B296" s="8" t="s">
        <v>22</v>
      </c>
      <c r="C296" s="2" t="s">
        <v>25</v>
      </c>
      <c r="D296" s="6">
        <v>34</v>
      </c>
      <c r="F296" s="28" t="s">
        <v>320</v>
      </c>
    </row>
    <row r="297" spans="1:6" ht="17" x14ac:dyDescent="0.2">
      <c r="A297" s="8">
        <v>45580</v>
      </c>
      <c r="B297" s="8" t="s">
        <v>22</v>
      </c>
      <c r="C297" s="2" t="s">
        <v>25</v>
      </c>
      <c r="D297" s="6">
        <v>34</v>
      </c>
      <c r="F297" s="28" t="s">
        <v>415</v>
      </c>
    </row>
    <row r="298" spans="1:6" ht="17" x14ac:dyDescent="0.2">
      <c r="A298" s="8">
        <v>45611</v>
      </c>
      <c r="B298" s="8" t="s">
        <v>22</v>
      </c>
      <c r="C298" s="2" t="s">
        <v>25</v>
      </c>
      <c r="D298" s="6">
        <v>34</v>
      </c>
      <c r="F298" s="28" t="s">
        <v>416</v>
      </c>
    </row>
    <row r="299" spans="1:6" ht="17" x14ac:dyDescent="0.2">
      <c r="A299" s="8">
        <v>45639</v>
      </c>
      <c r="B299" s="8" t="s">
        <v>22</v>
      </c>
      <c r="C299" s="2" t="s">
        <v>25</v>
      </c>
      <c r="D299" s="6">
        <v>465</v>
      </c>
      <c r="F299" s="28" t="s">
        <v>410</v>
      </c>
    </row>
    <row r="300" spans="1:6" ht="17" x14ac:dyDescent="0.2">
      <c r="A300" s="8">
        <v>45641</v>
      </c>
      <c r="B300" s="8" t="s">
        <v>22</v>
      </c>
      <c r="C300" s="2" t="s">
        <v>25</v>
      </c>
      <c r="D300" s="6">
        <v>34</v>
      </c>
      <c r="F300" s="28" t="s">
        <v>414</v>
      </c>
    </row>
    <row r="301" spans="1:6" x14ac:dyDescent="0.2">
      <c r="A301" s="8">
        <v>45663</v>
      </c>
      <c r="B301" s="8" t="s">
        <v>22</v>
      </c>
      <c r="C301" s="2" t="s">
        <v>25</v>
      </c>
      <c r="D301" s="6">
        <v>1450</v>
      </c>
    </row>
    <row r="302" spans="1:6" ht="17" x14ac:dyDescent="0.2">
      <c r="A302" s="8">
        <v>45669</v>
      </c>
      <c r="B302" s="8" t="s">
        <v>22</v>
      </c>
      <c r="C302" s="2" t="s">
        <v>25</v>
      </c>
      <c r="D302" s="6">
        <v>408</v>
      </c>
      <c r="F302" s="28" t="s">
        <v>425</v>
      </c>
    </row>
    <row r="303" spans="1:6" ht="17" x14ac:dyDescent="0.2">
      <c r="A303" s="8">
        <v>45365</v>
      </c>
      <c r="B303" s="35" t="s">
        <v>22</v>
      </c>
      <c r="C303" s="2" t="s">
        <v>24</v>
      </c>
      <c r="D303" s="6">
        <v>24</v>
      </c>
      <c r="E303" s="2" t="s">
        <v>9</v>
      </c>
      <c r="F303" s="28" t="s">
        <v>169</v>
      </c>
    </row>
    <row r="304" spans="1:6" ht="17" x14ac:dyDescent="0.2">
      <c r="A304" s="8">
        <v>45365</v>
      </c>
      <c r="B304" s="35" t="s">
        <v>22</v>
      </c>
      <c r="C304" s="2" t="s">
        <v>24</v>
      </c>
      <c r="D304" s="6">
        <v>110</v>
      </c>
      <c r="E304" s="2" t="s">
        <v>9</v>
      </c>
      <c r="F304" s="28" t="s">
        <v>26</v>
      </c>
    </row>
    <row r="305" spans="1:7" ht="17" x14ac:dyDescent="0.2">
      <c r="A305" s="8">
        <v>45366</v>
      </c>
      <c r="B305" s="8" t="s">
        <v>22</v>
      </c>
      <c r="C305" s="2" t="s">
        <v>24</v>
      </c>
      <c r="D305" s="6">
        <v>80</v>
      </c>
      <c r="E305" s="2" t="s">
        <v>9</v>
      </c>
      <c r="F305" s="28" t="s">
        <v>188</v>
      </c>
    </row>
    <row r="306" spans="1:7" ht="17" x14ac:dyDescent="0.2">
      <c r="A306" s="8">
        <v>45385</v>
      </c>
      <c r="B306" s="8" t="s">
        <v>22</v>
      </c>
      <c r="C306" s="2" t="s">
        <v>24</v>
      </c>
      <c r="D306" s="6">
        <v>120</v>
      </c>
      <c r="E306" s="2" t="s">
        <v>9</v>
      </c>
      <c r="F306" s="28" t="s">
        <v>26</v>
      </c>
    </row>
    <row r="307" spans="1:7" ht="17" x14ac:dyDescent="0.2">
      <c r="A307" s="8">
        <v>45386</v>
      </c>
      <c r="B307" s="8" t="s">
        <v>22</v>
      </c>
      <c r="C307" s="2" t="s">
        <v>24</v>
      </c>
      <c r="D307" s="6">
        <v>100</v>
      </c>
      <c r="E307" s="2" t="s">
        <v>9</v>
      </c>
      <c r="F307" s="28" t="s">
        <v>26</v>
      </c>
    </row>
    <row r="308" spans="1:7" ht="17" x14ac:dyDescent="0.2">
      <c r="A308" s="8">
        <v>45395</v>
      </c>
      <c r="B308" s="8" t="s">
        <v>22</v>
      </c>
      <c r="C308" s="2" t="s">
        <v>24</v>
      </c>
      <c r="D308" s="6">
        <v>34</v>
      </c>
      <c r="E308" s="2" t="s">
        <v>5</v>
      </c>
      <c r="F308" s="28" t="s">
        <v>220</v>
      </c>
    </row>
    <row r="309" spans="1:7" ht="17" x14ac:dyDescent="0.2">
      <c r="A309" s="8">
        <v>45397</v>
      </c>
      <c r="B309" s="8" t="s">
        <v>22</v>
      </c>
      <c r="C309" s="2" t="s">
        <v>24</v>
      </c>
      <c r="D309" s="6">
        <v>150</v>
      </c>
      <c r="E309" s="2" t="s">
        <v>9</v>
      </c>
      <c r="F309" s="28" t="s">
        <v>203</v>
      </c>
    </row>
    <row r="310" spans="1:7" ht="17" x14ac:dyDescent="0.2">
      <c r="A310" s="8">
        <v>45398</v>
      </c>
      <c r="B310" s="8" t="s">
        <v>22</v>
      </c>
      <c r="C310" s="2" t="s">
        <v>24</v>
      </c>
      <c r="D310" s="6">
        <v>84</v>
      </c>
      <c r="E310" s="2" t="s">
        <v>9</v>
      </c>
      <c r="F310" s="28" t="s">
        <v>26</v>
      </c>
    </row>
    <row r="311" spans="1:7" ht="17" x14ac:dyDescent="0.2">
      <c r="A311" s="8">
        <v>45428</v>
      </c>
      <c r="B311" s="8" t="s">
        <v>22</v>
      </c>
      <c r="C311" s="2" t="s">
        <v>24</v>
      </c>
      <c r="D311" s="6">
        <v>34</v>
      </c>
      <c r="E311" s="2" t="s">
        <v>5</v>
      </c>
      <c r="F311" s="28" t="s">
        <v>253</v>
      </c>
      <c r="G311" s="2" t="s">
        <v>418</v>
      </c>
    </row>
    <row r="312" spans="1:7" ht="17" x14ac:dyDescent="0.2">
      <c r="A312" s="8">
        <v>45486</v>
      </c>
      <c r="B312" s="8" t="s">
        <v>22</v>
      </c>
      <c r="C312" s="2" t="s">
        <v>24</v>
      </c>
      <c r="D312" s="6">
        <v>68</v>
      </c>
      <c r="F312" s="28" t="s">
        <v>254</v>
      </c>
    </row>
    <row r="313" spans="1:7" ht="17" x14ac:dyDescent="0.2">
      <c r="A313" s="8">
        <v>45519</v>
      </c>
      <c r="B313" s="8" t="s">
        <v>22</v>
      </c>
      <c r="C313" s="2" t="s">
        <v>24</v>
      </c>
      <c r="D313" s="6">
        <v>34</v>
      </c>
      <c r="F313" s="28" t="s">
        <v>300</v>
      </c>
    </row>
    <row r="314" spans="1:7" ht="17" x14ac:dyDescent="0.2">
      <c r="A314" s="8">
        <v>45541</v>
      </c>
      <c r="B314" s="8" t="s">
        <v>22</v>
      </c>
      <c r="C314" s="2" t="s">
        <v>24</v>
      </c>
      <c r="D314" s="6">
        <v>160</v>
      </c>
      <c r="F314" s="28" t="s">
        <v>315</v>
      </c>
    </row>
    <row r="315" spans="1:7" ht="17" x14ac:dyDescent="0.2">
      <c r="A315" s="8">
        <v>45550</v>
      </c>
      <c r="B315" s="8" t="s">
        <v>22</v>
      </c>
      <c r="C315" s="2" t="s">
        <v>24</v>
      </c>
      <c r="D315" s="6">
        <v>34</v>
      </c>
      <c r="F315" s="28" t="s">
        <v>320</v>
      </c>
    </row>
    <row r="316" spans="1:7" ht="17" x14ac:dyDescent="0.2">
      <c r="A316" s="8">
        <v>45558</v>
      </c>
      <c r="B316" s="8" t="s">
        <v>22</v>
      </c>
      <c r="C316" s="2" t="s">
        <v>24</v>
      </c>
      <c r="D316" s="6">
        <v>165</v>
      </c>
      <c r="F316" s="28" t="s">
        <v>337</v>
      </c>
    </row>
    <row r="317" spans="1:7" ht="17" x14ac:dyDescent="0.2">
      <c r="A317" s="8">
        <v>45558</v>
      </c>
      <c r="B317" s="8" t="s">
        <v>22</v>
      </c>
      <c r="C317" s="2" t="s">
        <v>24</v>
      </c>
      <c r="D317" s="6">
        <v>160</v>
      </c>
      <c r="F317" s="28" t="s">
        <v>26</v>
      </c>
    </row>
    <row r="318" spans="1:7" ht="17" x14ac:dyDescent="0.2">
      <c r="A318" s="8">
        <v>45559</v>
      </c>
      <c r="B318" s="8" t="s">
        <v>22</v>
      </c>
      <c r="C318" s="2" t="s">
        <v>24</v>
      </c>
      <c r="D318" s="6">
        <v>50</v>
      </c>
      <c r="F318" s="28" t="s">
        <v>339</v>
      </c>
    </row>
    <row r="319" spans="1:7" ht="17" x14ac:dyDescent="0.2">
      <c r="A319" s="8">
        <v>45566</v>
      </c>
      <c r="B319" s="8" t="s">
        <v>22</v>
      </c>
      <c r="C319" s="2" t="s">
        <v>24</v>
      </c>
      <c r="D319" s="6">
        <v>100</v>
      </c>
      <c r="F319" s="28" t="s">
        <v>354</v>
      </c>
    </row>
    <row r="320" spans="1:7" ht="17" x14ac:dyDescent="0.2">
      <c r="A320" s="8">
        <v>45572</v>
      </c>
      <c r="B320" s="8" t="s">
        <v>22</v>
      </c>
      <c r="C320" s="2" t="s">
        <v>24</v>
      </c>
      <c r="D320" s="6">
        <v>155</v>
      </c>
      <c r="F320" s="28" t="s">
        <v>26</v>
      </c>
    </row>
    <row r="321" spans="1:6" ht="17" x14ac:dyDescent="0.2">
      <c r="A321" s="8">
        <v>45580</v>
      </c>
      <c r="B321" s="8" t="s">
        <v>22</v>
      </c>
      <c r="C321" s="2" t="s">
        <v>24</v>
      </c>
      <c r="D321" s="6">
        <v>34</v>
      </c>
      <c r="F321" s="28" t="s">
        <v>415</v>
      </c>
    </row>
    <row r="322" spans="1:6" ht="17" x14ac:dyDescent="0.2">
      <c r="A322" s="8">
        <v>45604</v>
      </c>
      <c r="B322" s="8" t="s">
        <v>22</v>
      </c>
      <c r="C322" s="2" t="s">
        <v>24</v>
      </c>
      <c r="D322" s="6">
        <v>150</v>
      </c>
      <c r="F322" s="28" t="s">
        <v>400</v>
      </c>
    </row>
    <row r="323" spans="1:6" ht="17" x14ac:dyDescent="0.2">
      <c r="A323" s="8">
        <v>45611</v>
      </c>
      <c r="B323" s="8" t="s">
        <v>22</v>
      </c>
      <c r="C323" s="2" t="s">
        <v>24</v>
      </c>
      <c r="D323" s="6">
        <v>34</v>
      </c>
      <c r="F323" s="28" t="s">
        <v>416</v>
      </c>
    </row>
    <row r="324" spans="1:6" ht="17" x14ac:dyDescent="0.2">
      <c r="A324" s="8">
        <v>45625</v>
      </c>
      <c r="B324" s="8" t="s">
        <v>22</v>
      </c>
      <c r="C324" s="2" t="s">
        <v>24</v>
      </c>
      <c r="D324" s="6">
        <v>120</v>
      </c>
      <c r="F324" s="28" t="s">
        <v>369</v>
      </c>
    </row>
    <row r="325" spans="1:6" ht="17" x14ac:dyDescent="0.2">
      <c r="A325" s="8">
        <v>45625</v>
      </c>
      <c r="B325" s="8" t="s">
        <v>22</v>
      </c>
      <c r="C325" s="2" t="s">
        <v>24</v>
      </c>
      <c r="D325" s="6">
        <v>95</v>
      </c>
      <c r="F325" s="28" t="s">
        <v>360</v>
      </c>
    </row>
    <row r="326" spans="1:6" ht="17" x14ac:dyDescent="0.2">
      <c r="A326" s="8">
        <v>45626</v>
      </c>
      <c r="B326" s="8" t="s">
        <v>22</v>
      </c>
      <c r="C326" s="2" t="s">
        <v>24</v>
      </c>
      <c r="D326" s="6">
        <v>761</v>
      </c>
      <c r="F326" s="28" t="s">
        <v>372</v>
      </c>
    </row>
    <row r="327" spans="1:6" ht="17" x14ac:dyDescent="0.2">
      <c r="A327" s="8">
        <v>45626</v>
      </c>
      <c r="B327" s="8" t="s">
        <v>22</v>
      </c>
      <c r="C327" s="2" t="s">
        <v>24</v>
      </c>
      <c r="D327" s="6">
        <v>275</v>
      </c>
      <c r="F327" s="28" t="s">
        <v>374</v>
      </c>
    </row>
    <row r="328" spans="1:6" ht="17" x14ac:dyDescent="0.2">
      <c r="A328" s="8">
        <v>45639</v>
      </c>
      <c r="B328" s="8" t="s">
        <v>22</v>
      </c>
      <c r="C328" s="2" t="s">
        <v>24</v>
      </c>
      <c r="D328" s="6">
        <v>465</v>
      </c>
      <c r="F328" s="28" t="s">
        <v>410</v>
      </c>
    </row>
    <row r="329" spans="1:6" ht="17" x14ac:dyDescent="0.2">
      <c r="A329" s="8">
        <v>45641</v>
      </c>
      <c r="B329" s="8" t="s">
        <v>22</v>
      </c>
      <c r="C329" s="2" t="s">
        <v>24</v>
      </c>
      <c r="D329" s="6">
        <v>34</v>
      </c>
      <c r="F329" s="28" t="s">
        <v>414</v>
      </c>
    </row>
    <row r="330" spans="1:6" x14ac:dyDescent="0.2">
      <c r="A330" s="8">
        <v>45663</v>
      </c>
      <c r="B330" s="8" t="s">
        <v>22</v>
      </c>
      <c r="C330" s="2" t="s">
        <v>24</v>
      </c>
      <c r="D330" s="6">
        <v>970</v>
      </c>
    </row>
    <row r="331" spans="1:6" x14ac:dyDescent="0.2">
      <c r="A331" s="8">
        <v>45669</v>
      </c>
      <c r="B331" s="8" t="s">
        <v>22</v>
      </c>
      <c r="C331" s="2" t="s">
        <v>24</v>
      </c>
      <c r="D331" s="6">
        <v>408</v>
      </c>
    </row>
    <row r="332" spans="1:6" ht="17" x14ac:dyDescent="0.2">
      <c r="A332" s="8">
        <v>45541</v>
      </c>
      <c r="B332" s="8" t="s">
        <v>22</v>
      </c>
      <c r="C332" s="2" t="s">
        <v>35</v>
      </c>
      <c r="D332" s="6">
        <v>100</v>
      </c>
      <c r="F332" s="28" t="s">
        <v>315</v>
      </c>
    </row>
    <row r="333" spans="1:6" ht="17" x14ac:dyDescent="0.2">
      <c r="A333" s="8">
        <v>45566</v>
      </c>
      <c r="B333" s="8" t="s">
        <v>22</v>
      </c>
      <c r="C333" s="2" t="s">
        <v>35</v>
      </c>
      <c r="D333" s="6">
        <v>100</v>
      </c>
      <c r="F333" s="28" t="s">
        <v>354</v>
      </c>
    </row>
    <row r="334" spans="1:6" ht="17" x14ac:dyDescent="0.2">
      <c r="A334" s="8">
        <v>45626</v>
      </c>
      <c r="B334" s="8" t="s">
        <v>22</v>
      </c>
      <c r="C334" s="2" t="s">
        <v>35</v>
      </c>
      <c r="D334" s="6">
        <v>761</v>
      </c>
      <c r="F334" s="28" t="s">
        <v>372</v>
      </c>
    </row>
    <row r="335" spans="1:6" x14ac:dyDescent="0.2">
      <c r="A335" s="8">
        <v>45663</v>
      </c>
      <c r="B335" s="8" t="s">
        <v>22</v>
      </c>
      <c r="C335" s="2" t="s">
        <v>35</v>
      </c>
      <c r="D335" s="6">
        <v>1079</v>
      </c>
    </row>
    <row r="336" spans="1:6" ht="17" x14ac:dyDescent="0.2">
      <c r="A336" s="8">
        <v>45401</v>
      </c>
      <c r="B336" s="8" t="s">
        <v>22</v>
      </c>
      <c r="C336" s="2" t="s">
        <v>106</v>
      </c>
      <c r="D336" s="6">
        <v>28</v>
      </c>
      <c r="E336" s="2" t="s">
        <v>9</v>
      </c>
      <c r="F336" s="28" t="s">
        <v>199</v>
      </c>
    </row>
    <row r="337" spans="1:6" ht="17" x14ac:dyDescent="0.2">
      <c r="A337" s="8">
        <v>45626</v>
      </c>
      <c r="B337" s="8" t="s">
        <v>22</v>
      </c>
      <c r="C337" s="2" t="s">
        <v>106</v>
      </c>
      <c r="D337" s="6">
        <v>140</v>
      </c>
      <c r="F337" s="28" t="s">
        <v>371</v>
      </c>
    </row>
    <row r="338" spans="1:6" ht="17" x14ac:dyDescent="0.2">
      <c r="A338" s="8">
        <v>45626</v>
      </c>
      <c r="B338" s="8" t="s">
        <v>22</v>
      </c>
      <c r="C338" s="2" t="s">
        <v>106</v>
      </c>
      <c r="D338" s="6">
        <v>761</v>
      </c>
      <c r="F338" s="28" t="s">
        <v>372</v>
      </c>
    </row>
    <row r="339" spans="1:6" ht="17" x14ac:dyDescent="0.2">
      <c r="A339" s="8">
        <v>45639</v>
      </c>
      <c r="B339" s="8" t="s">
        <v>22</v>
      </c>
      <c r="C339" s="2" t="s">
        <v>106</v>
      </c>
      <c r="D339" s="6">
        <v>465</v>
      </c>
      <c r="F339" s="28" t="s">
        <v>410</v>
      </c>
    </row>
    <row r="340" spans="1:6" x14ac:dyDescent="0.2">
      <c r="A340" s="8">
        <v>45663</v>
      </c>
      <c r="B340" s="8" t="s">
        <v>22</v>
      </c>
      <c r="C340" s="2" t="s">
        <v>106</v>
      </c>
      <c r="D340" s="6">
        <v>1600</v>
      </c>
    </row>
    <row r="341" spans="1:6" ht="17" x14ac:dyDescent="0.2">
      <c r="A341" s="8">
        <v>45396</v>
      </c>
      <c r="B341" s="8" t="s">
        <v>22</v>
      </c>
      <c r="C341" s="2" t="s">
        <v>246</v>
      </c>
      <c r="D341" s="6">
        <v>10662.72</v>
      </c>
      <c r="E341" s="2" t="s">
        <v>5</v>
      </c>
      <c r="F341" s="28" t="s">
        <v>247</v>
      </c>
    </row>
    <row r="342" spans="1:6" ht="17" x14ac:dyDescent="0.2">
      <c r="A342" s="8">
        <v>45383</v>
      </c>
      <c r="B342" s="8" t="s">
        <v>22</v>
      </c>
      <c r="C342" s="2" t="s">
        <v>11</v>
      </c>
      <c r="D342" s="6">
        <v>345</v>
      </c>
      <c r="E342" s="2" t="s">
        <v>9</v>
      </c>
      <c r="F342" s="28" t="s">
        <v>198</v>
      </c>
    </row>
    <row r="343" spans="1:6" ht="17" x14ac:dyDescent="0.2">
      <c r="A343" s="8">
        <v>45384</v>
      </c>
      <c r="B343" s="8" t="s">
        <v>22</v>
      </c>
      <c r="C343" s="2" t="s">
        <v>11</v>
      </c>
      <c r="D343" s="6">
        <v>60</v>
      </c>
      <c r="E343" s="2" t="s">
        <v>9</v>
      </c>
      <c r="F343" s="28" t="s">
        <v>196</v>
      </c>
    </row>
    <row r="344" spans="1:6" ht="17" x14ac:dyDescent="0.2">
      <c r="A344" s="8">
        <v>45385</v>
      </c>
      <c r="B344" s="8" t="s">
        <v>22</v>
      </c>
      <c r="C344" s="2" t="s">
        <v>11</v>
      </c>
      <c r="D344" s="6">
        <v>180</v>
      </c>
      <c r="E344" s="2" t="s">
        <v>9</v>
      </c>
      <c r="F344" s="28" t="s">
        <v>197</v>
      </c>
    </row>
    <row r="345" spans="1:6" ht="17" x14ac:dyDescent="0.2">
      <c r="A345" s="8">
        <v>45385</v>
      </c>
      <c r="B345" s="8" t="s">
        <v>22</v>
      </c>
      <c r="C345" s="2" t="s">
        <v>11</v>
      </c>
      <c r="D345" s="6">
        <v>-20</v>
      </c>
      <c r="E345" s="2" t="s">
        <v>9</v>
      </c>
      <c r="F345" s="28" t="s">
        <v>202</v>
      </c>
    </row>
    <row r="346" spans="1:6" ht="17" x14ac:dyDescent="0.2">
      <c r="A346" s="8">
        <v>45386</v>
      </c>
      <c r="B346" s="8" t="s">
        <v>22</v>
      </c>
      <c r="C346" s="2" t="s">
        <v>11</v>
      </c>
      <c r="D346" s="6">
        <v>60</v>
      </c>
      <c r="E346" s="2" t="s">
        <v>9</v>
      </c>
      <c r="F346" s="28" t="s">
        <v>199</v>
      </c>
    </row>
    <row r="347" spans="1:6" ht="17" x14ac:dyDescent="0.2">
      <c r="A347" s="8">
        <v>45386</v>
      </c>
      <c r="B347" s="8" t="s">
        <v>22</v>
      </c>
      <c r="C347" s="2" t="s">
        <v>11</v>
      </c>
      <c r="D347" s="6">
        <v>130</v>
      </c>
      <c r="E347" s="2" t="s">
        <v>9</v>
      </c>
      <c r="F347" s="28" t="s">
        <v>200</v>
      </c>
    </row>
    <row r="348" spans="1:6" ht="17" x14ac:dyDescent="0.2">
      <c r="A348" s="8">
        <v>45390</v>
      </c>
      <c r="B348" s="8" t="s">
        <v>22</v>
      </c>
      <c r="C348" s="2" t="s">
        <v>11</v>
      </c>
      <c r="D348" s="6">
        <v>20</v>
      </c>
      <c r="E348" s="2" t="s">
        <v>9</v>
      </c>
      <c r="F348" s="28" t="s">
        <v>201</v>
      </c>
    </row>
    <row r="349" spans="1:6" ht="17" x14ac:dyDescent="0.2">
      <c r="A349" s="8">
        <v>45390</v>
      </c>
      <c r="B349" s="8" t="s">
        <v>22</v>
      </c>
      <c r="C349" s="2" t="s">
        <v>11</v>
      </c>
      <c r="D349" s="6">
        <v>67</v>
      </c>
      <c r="E349" s="2" t="s">
        <v>9</v>
      </c>
      <c r="F349" s="28" t="s">
        <v>8</v>
      </c>
    </row>
    <row r="350" spans="1:6" ht="17" x14ac:dyDescent="0.2">
      <c r="A350" s="8">
        <v>45395</v>
      </c>
      <c r="B350" s="8" t="s">
        <v>22</v>
      </c>
      <c r="C350" s="2" t="s">
        <v>11</v>
      </c>
      <c r="D350" s="6">
        <v>34</v>
      </c>
      <c r="E350" s="2" t="s">
        <v>5</v>
      </c>
      <c r="F350" s="28" t="s">
        <v>220</v>
      </c>
    </row>
    <row r="351" spans="1:6" ht="17" x14ac:dyDescent="0.2">
      <c r="A351" s="8">
        <v>45398</v>
      </c>
      <c r="B351" s="8" t="s">
        <v>22</v>
      </c>
      <c r="C351" s="2" t="s">
        <v>11</v>
      </c>
      <c r="D351" s="6">
        <v>25</v>
      </c>
      <c r="E351" s="2" t="s">
        <v>9</v>
      </c>
      <c r="F351" s="28" t="s">
        <v>223</v>
      </c>
    </row>
    <row r="352" spans="1:6" ht="17" x14ac:dyDescent="0.2">
      <c r="A352" s="8">
        <v>45398</v>
      </c>
      <c r="B352" s="8" t="s">
        <v>22</v>
      </c>
      <c r="C352" s="2" t="s">
        <v>11</v>
      </c>
      <c r="D352" s="6">
        <v>30</v>
      </c>
      <c r="E352" s="2" t="s">
        <v>9</v>
      </c>
      <c r="F352" s="28" t="s">
        <v>224</v>
      </c>
    </row>
    <row r="353" spans="1:6" ht="17" x14ac:dyDescent="0.2">
      <c r="A353" s="8">
        <v>45398</v>
      </c>
      <c r="B353" s="8" t="s">
        <v>22</v>
      </c>
      <c r="C353" s="2" t="s">
        <v>11</v>
      </c>
      <c r="D353" s="6">
        <v>84</v>
      </c>
      <c r="E353" s="2" t="s">
        <v>9</v>
      </c>
      <c r="F353" s="28" t="s">
        <v>222</v>
      </c>
    </row>
    <row r="354" spans="1:6" ht="17" x14ac:dyDescent="0.2">
      <c r="A354" s="8">
        <v>45401</v>
      </c>
      <c r="B354" s="8" t="s">
        <v>195</v>
      </c>
      <c r="C354" s="2" t="s">
        <v>11</v>
      </c>
      <c r="D354" s="6">
        <v>172</v>
      </c>
      <c r="E354" s="2" t="s">
        <v>9</v>
      </c>
      <c r="F354" s="28" t="s">
        <v>66</v>
      </c>
    </row>
    <row r="355" spans="1:6" ht="17" x14ac:dyDescent="0.2">
      <c r="A355" s="8">
        <v>45427</v>
      </c>
      <c r="B355" s="8" t="s">
        <v>195</v>
      </c>
      <c r="C355" s="2" t="s">
        <v>11</v>
      </c>
      <c r="D355" s="6">
        <v>290.5</v>
      </c>
      <c r="E355" s="2" t="s">
        <v>9</v>
      </c>
      <c r="F355" s="28" t="s">
        <v>252</v>
      </c>
    </row>
    <row r="356" spans="1:6" ht="17" x14ac:dyDescent="0.2">
      <c r="A356" s="8">
        <v>45428</v>
      </c>
      <c r="B356" s="8" t="s">
        <v>195</v>
      </c>
      <c r="C356" s="2" t="s">
        <v>11</v>
      </c>
      <c r="D356" s="6">
        <v>34</v>
      </c>
      <c r="E356" s="2" t="s">
        <v>5</v>
      </c>
      <c r="F356" s="28" t="s">
        <v>253</v>
      </c>
    </row>
    <row r="357" spans="1:6" ht="17" x14ac:dyDescent="0.2">
      <c r="A357" s="8">
        <v>45486</v>
      </c>
      <c r="B357" s="8" t="s">
        <v>22</v>
      </c>
      <c r="C357" s="2" t="s">
        <v>11</v>
      </c>
      <c r="D357" s="6">
        <v>68</v>
      </c>
      <c r="F357" s="28" t="s">
        <v>254</v>
      </c>
    </row>
    <row r="358" spans="1:6" x14ac:dyDescent="0.2">
      <c r="A358" s="8">
        <v>45663</v>
      </c>
      <c r="B358" s="8" t="s">
        <v>22</v>
      </c>
      <c r="C358" s="2" t="s">
        <v>417</v>
      </c>
      <c r="D358" s="6">
        <v>915</v>
      </c>
    </row>
    <row r="359" spans="1:6" ht="17" x14ac:dyDescent="0.2">
      <c r="A359" s="8">
        <v>45384</v>
      </c>
      <c r="B359" s="8" t="s">
        <v>22</v>
      </c>
      <c r="C359" s="2" t="s">
        <v>191</v>
      </c>
      <c r="D359" s="6">
        <v>130</v>
      </c>
      <c r="E359" s="2" t="s">
        <v>9</v>
      </c>
      <c r="F359" s="28" t="s">
        <v>26</v>
      </c>
    </row>
    <row r="360" spans="1:6" ht="17" x14ac:dyDescent="0.2">
      <c r="A360" s="8">
        <v>45385</v>
      </c>
      <c r="B360" s="8" t="s">
        <v>22</v>
      </c>
      <c r="C360" s="2" t="s">
        <v>191</v>
      </c>
      <c r="D360" s="6">
        <v>120</v>
      </c>
      <c r="E360" s="2" t="s">
        <v>9</v>
      </c>
      <c r="F360" s="28" t="s">
        <v>26</v>
      </c>
    </row>
    <row r="361" spans="1:6" ht="17" x14ac:dyDescent="0.2">
      <c r="A361" s="8">
        <v>45386</v>
      </c>
      <c r="B361" s="8" t="s">
        <v>22</v>
      </c>
      <c r="C361" s="2" t="s">
        <v>191</v>
      </c>
      <c r="D361" s="6">
        <v>130</v>
      </c>
      <c r="E361" s="2" t="s">
        <v>9</v>
      </c>
      <c r="F361" s="28" t="s">
        <v>200</v>
      </c>
    </row>
    <row r="362" spans="1:6" ht="17" x14ac:dyDescent="0.2">
      <c r="A362" s="8">
        <v>45386</v>
      </c>
      <c r="B362" s="8" t="s">
        <v>22</v>
      </c>
      <c r="C362" s="2" t="s">
        <v>191</v>
      </c>
      <c r="D362" s="6">
        <v>100</v>
      </c>
      <c r="E362" s="2" t="s">
        <v>9</v>
      </c>
      <c r="F362" s="28" t="s">
        <v>26</v>
      </c>
    </row>
    <row r="363" spans="1:6" ht="17" x14ac:dyDescent="0.2">
      <c r="A363" s="8">
        <v>45392</v>
      </c>
      <c r="B363" s="8" t="s">
        <v>22</v>
      </c>
      <c r="C363" s="2" t="s">
        <v>191</v>
      </c>
      <c r="D363" s="6">
        <v>210</v>
      </c>
      <c r="E363" s="2" t="s">
        <v>9</v>
      </c>
      <c r="F363" s="28" t="s">
        <v>203</v>
      </c>
    </row>
    <row r="364" spans="1:6" ht="17" x14ac:dyDescent="0.2">
      <c r="A364" s="8">
        <v>45392</v>
      </c>
      <c r="B364" s="8" t="s">
        <v>22</v>
      </c>
      <c r="C364" s="2" t="s">
        <v>191</v>
      </c>
      <c r="D364" s="6">
        <v>-20</v>
      </c>
      <c r="E364" s="2" t="s">
        <v>9</v>
      </c>
      <c r="F364" s="28" t="s">
        <v>218</v>
      </c>
    </row>
    <row r="365" spans="1:6" ht="17" x14ac:dyDescent="0.2">
      <c r="A365" s="8">
        <v>45393</v>
      </c>
      <c r="B365" s="8" t="s">
        <v>22</v>
      </c>
      <c r="C365" s="2" t="s">
        <v>191</v>
      </c>
      <c r="D365" s="6">
        <v>130</v>
      </c>
      <c r="E365" s="2" t="s">
        <v>9</v>
      </c>
      <c r="F365" s="28" t="s">
        <v>203</v>
      </c>
    </row>
    <row r="366" spans="1:6" ht="17" x14ac:dyDescent="0.2">
      <c r="A366" s="8">
        <v>45397</v>
      </c>
      <c r="B366" s="8" t="s">
        <v>22</v>
      </c>
      <c r="C366" s="2" t="s">
        <v>191</v>
      </c>
      <c r="D366" s="6">
        <v>150</v>
      </c>
      <c r="E366" s="2" t="s">
        <v>9</v>
      </c>
      <c r="F366" s="28" t="s">
        <v>203</v>
      </c>
    </row>
    <row r="367" spans="1:6" ht="17" x14ac:dyDescent="0.2">
      <c r="A367" s="8">
        <v>45371</v>
      </c>
      <c r="B367" s="8" t="s">
        <v>195</v>
      </c>
      <c r="C367" s="2" t="s">
        <v>3</v>
      </c>
      <c r="D367" s="6">
        <v>4100</v>
      </c>
      <c r="E367" s="2" t="s">
        <v>9</v>
      </c>
      <c r="F367" s="28" t="s">
        <v>194</v>
      </c>
    </row>
    <row r="368" spans="1:6" ht="17" x14ac:dyDescent="0.2">
      <c r="A368" s="8">
        <v>45385</v>
      </c>
      <c r="B368" s="8" t="s">
        <v>22</v>
      </c>
      <c r="C368" s="2" t="s">
        <v>3</v>
      </c>
      <c r="D368" s="6">
        <v>180</v>
      </c>
      <c r="E368" s="2" t="s">
        <v>9</v>
      </c>
      <c r="F368" s="28" t="s">
        <v>197</v>
      </c>
    </row>
    <row r="369" spans="1:7" ht="17" x14ac:dyDescent="0.2">
      <c r="A369" s="8">
        <v>45386</v>
      </c>
      <c r="B369" s="8" t="s">
        <v>22</v>
      </c>
      <c r="C369" s="2" t="s">
        <v>3</v>
      </c>
      <c r="D369" s="6">
        <v>100</v>
      </c>
      <c r="E369" s="2" t="s">
        <v>9</v>
      </c>
      <c r="F369" s="28" t="s">
        <v>26</v>
      </c>
    </row>
    <row r="370" spans="1:7" ht="17" x14ac:dyDescent="0.2">
      <c r="A370" s="8">
        <v>45390</v>
      </c>
      <c r="B370" s="8" t="s">
        <v>22</v>
      </c>
      <c r="C370" s="2" t="s">
        <v>3</v>
      </c>
      <c r="D370" s="6">
        <v>100</v>
      </c>
      <c r="E370" s="2" t="s">
        <v>9</v>
      </c>
      <c r="F370" s="28" t="s">
        <v>8</v>
      </c>
    </row>
    <row r="371" spans="1:7" ht="17" x14ac:dyDescent="0.2">
      <c r="A371" s="8">
        <v>45390</v>
      </c>
      <c r="B371" s="8" t="s">
        <v>22</v>
      </c>
      <c r="C371" s="2" t="s">
        <v>3</v>
      </c>
      <c r="D371" s="6">
        <v>25</v>
      </c>
      <c r="E371" s="2" t="s">
        <v>9</v>
      </c>
      <c r="F371" s="28" t="s">
        <v>144</v>
      </c>
    </row>
    <row r="372" spans="1:7" ht="17" x14ac:dyDescent="0.2">
      <c r="A372" s="8">
        <v>45395</v>
      </c>
      <c r="B372" s="8" t="s">
        <v>195</v>
      </c>
      <c r="C372" s="2" t="s">
        <v>3</v>
      </c>
      <c r="D372" s="6">
        <v>34</v>
      </c>
      <c r="E372" s="2" t="s">
        <v>5</v>
      </c>
      <c r="F372" s="28" t="s">
        <v>220</v>
      </c>
    </row>
    <row r="373" spans="1:7" ht="17" x14ac:dyDescent="0.2">
      <c r="A373" s="8">
        <v>45401</v>
      </c>
      <c r="B373" s="8" t="s">
        <v>22</v>
      </c>
      <c r="C373" s="2" t="s">
        <v>3</v>
      </c>
      <c r="D373" s="6">
        <v>172</v>
      </c>
      <c r="E373" s="2" t="s">
        <v>9</v>
      </c>
      <c r="F373" s="28" t="s">
        <v>66</v>
      </c>
    </row>
    <row r="374" spans="1:7" ht="17" x14ac:dyDescent="0.2">
      <c r="A374" s="8">
        <v>45427</v>
      </c>
      <c r="B374" s="8" t="s">
        <v>195</v>
      </c>
      <c r="C374" s="2" t="s">
        <v>3</v>
      </c>
      <c r="D374" s="6">
        <v>290</v>
      </c>
      <c r="E374" s="2" t="s">
        <v>9</v>
      </c>
      <c r="F374" s="28" t="s">
        <v>252</v>
      </c>
    </row>
    <row r="375" spans="1:7" ht="17" x14ac:dyDescent="0.2">
      <c r="A375" s="8">
        <v>45428</v>
      </c>
      <c r="B375" s="8" t="s">
        <v>195</v>
      </c>
      <c r="C375" s="2" t="s">
        <v>3</v>
      </c>
      <c r="D375" s="6">
        <v>34</v>
      </c>
      <c r="E375" s="2" t="s">
        <v>5</v>
      </c>
      <c r="F375" s="28" t="s">
        <v>253</v>
      </c>
    </row>
    <row r="376" spans="1:7" ht="17" x14ac:dyDescent="0.2">
      <c r="A376" s="8">
        <v>45503</v>
      </c>
      <c r="B376" s="8" t="s">
        <v>22</v>
      </c>
      <c r="C376" s="2" t="s">
        <v>3</v>
      </c>
      <c r="D376" s="6">
        <v>1000</v>
      </c>
      <c r="F376" s="28" t="s">
        <v>256</v>
      </c>
    </row>
    <row r="377" spans="1:7" ht="17" x14ac:dyDescent="0.2">
      <c r="A377" s="8">
        <v>45598</v>
      </c>
      <c r="B377" s="8" t="s">
        <v>22</v>
      </c>
      <c r="C377" s="2" t="s">
        <v>3</v>
      </c>
      <c r="D377" s="6">
        <v>190</v>
      </c>
      <c r="F377" s="28" t="s">
        <v>405</v>
      </c>
    </row>
    <row r="378" spans="1:7" ht="17" x14ac:dyDescent="0.2">
      <c r="A378" s="8">
        <v>45517</v>
      </c>
      <c r="B378" s="8" t="s">
        <v>22</v>
      </c>
      <c r="C378" s="2" t="s">
        <v>36</v>
      </c>
      <c r="D378" s="6">
        <v>80</v>
      </c>
      <c r="F378" s="28" t="s">
        <v>275</v>
      </c>
    </row>
    <row r="379" spans="1:7" ht="17" x14ac:dyDescent="0.2">
      <c r="A379" s="8">
        <v>45518</v>
      </c>
      <c r="B379" s="8" t="s">
        <v>22</v>
      </c>
      <c r="C379" s="2" t="s">
        <v>36</v>
      </c>
      <c r="D379" s="6">
        <v>175</v>
      </c>
      <c r="F379" s="28" t="s">
        <v>278</v>
      </c>
    </row>
    <row r="380" spans="1:7" ht="17" x14ac:dyDescent="0.2">
      <c r="A380" s="8">
        <v>45519</v>
      </c>
      <c r="B380" s="8" t="s">
        <v>22</v>
      </c>
      <c r="C380" s="2" t="s">
        <v>36</v>
      </c>
      <c r="D380" s="6">
        <v>105</v>
      </c>
      <c r="F380" s="28" t="s">
        <v>279</v>
      </c>
    </row>
    <row r="381" spans="1:7" ht="17" x14ac:dyDescent="0.2">
      <c r="A381" s="8">
        <v>45520</v>
      </c>
      <c r="B381" s="8" t="s">
        <v>22</v>
      </c>
      <c r="C381" s="2" t="s">
        <v>36</v>
      </c>
      <c r="D381" s="6">
        <v>25</v>
      </c>
      <c r="F381" s="28" t="s">
        <v>280</v>
      </c>
    </row>
    <row r="382" spans="1:7" ht="17" x14ac:dyDescent="0.2">
      <c r="A382" s="8">
        <v>45520</v>
      </c>
      <c r="B382" s="8" t="s">
        <v>22</v>
      </c>
      <c r="C382" s="2" t="s">
        <v>36</v>
      </c>
      <c r="D382" s="6">
        <v>373</v>
      </c>
      <c r="F382" s="28" t="s">
        <v>281</v>
      </c>
    </row>
    <row r="383" spans="1:7" ht="17" x14ac:dyDescent="0.2">
      <c r="A383" s="8">
        <v>45520</v>
      </c>
      <c r="B383" s="8" t="s">
        <v>22</v>
      </c>
      <c r="C383" s="2" t="s">
        <v>36</v>
      </c>
      <c r="D383" s="6">
        <v>20</v>
      </c>
      <c r="F383" s="28" t="s">
        <v>282</v>
      </c>
    </row>
    <row r="384" spans="1:7" ht="17" x14ac:dyDescent="0.2">
      <c r="A384" s="8">
        <v>45520</v>
      </c>
      <c r="B384" s="8" t="s">
        <v>22</v>
      </c>
      <c r="C384" s="2" t="s">
        <v>36</v>
      </c>
      <c r="D384" s="6">
        <v>100</v>
      </c>
      <c r="F384" s="28" t="s">
        <v>283</v>
      </c>
      <c r="G384" s="2" t="s">
        <v>332</v>
      </c>
    </row>
    <row r="385" spans="1:6" ht="17" x14ac:dyDescent="0.2">
      <c r="A385" s="8">
        <v>45520</v>
      </c>
      <c r="B385" s="8" t="s">
        <v>22</v>
      </c>
      <c r="C385" s="2" t="s">
        <v>36</v>
      </c>
      <c r="D385" s="6">
        <v>255</v>
      </c>
      <c r="F385" s="28" t="s">
        <v>284</v>
      </c>
    </row>
    <row r="386" spans="1:6" ht="17" x14ac:dyDescent="0.2">
      <c r="A386" s="8">
        <v>45520</v>
      </c>
      <c r="B386" s="8" t="s">
        <v>22</v>
      </c>
      <c r="C386" s="2" t="s">
        <v>36</v>
      </c>
      <c r="D386" s="6">
        <v>40</v>
      </c>
      <c r="F386" s="28" t="s">
        <v>280</v>
      </c>
    </row>
    <row r="387" spans="1:6" ht="17" x14ac:dyDescent="0.2">
      <c r="A387" s="8">
        <v>45521</v>
      </c>
      <c r="B387" s="8" t="s">
        <v>22</v>
      </c>
      <c r="C387" s="2" t="s">
        <v>36</v>
      </c>
      <c r="D387" s="6">
        <v>148</v>
      </c>
      <c r="F387" s="28" t="s">
        <v>285</v>
      </c>
    </row>
    <row r="388" spans="1:6" ht="17" x14ac:dyDescent="0.2">
      <c r="A388" s="8">
        <v>45526</v>
      </c>
      <c r="B388" s="8" t="s">
        <v>22</v>
      </c>
      <c r="C388" s="2" t="s">
        <v>36</v>
      </c>
      <c r="D388" s="6">
        <v>189</v>
      </c>
      <c r="F388" s="28" t="s">
        <v>293</v>
      </c>
    </row>
    <row r="389" spans="1:6" ht="17" x14ac:dyDescent="0.2">
      <c r="A389" s="8">
        <v>45533</v>
      </c>
      <c r="B389" s="8" t="s">
        <v>22</v>
      </c>
      <c r="C389" s="2" t="s">
        <v>36</v>
      </c>
      <c r="D389" s="6">
        <v>156</v>
      </c>
      <c r="F389" s="28" t="s">
        <v>296</v>
      </c>
    </row>
    <row r="390" spans="1:6" ht="17" x14ac:dyDescent="0.2">
      <c r="A390" s="8">
        <v>45533</v>
      </c>
      <c r="B390" s="8" t="s">
        <v>22</v>
      </c>
      <c r="C390" s="2" t="s">
        <v>36</v>
      </c>
      <c r="D390" s="6">
        <v>140</v>
      </c>
      <c r="F390" s="28" t="s">
        <v>298</v>
      </c>
    </row>
    <row r="391" spans="1:6" ht="17" x14ac:dyDescent="0.2">
      <c r="A391" s="8">
        <v>45537</v>
      </c>
      <c r="B391" s="8" t="s">
        <v>22</v>
      </c>
      <c r="C391" s="2" t="s">
        <v>36</v>
      </c>
      <c r="D391" s="6">
        <v>120</v>
      </c>
      <c r="F391" s="28" t="s">
        <v>303</v>
      </c>
    </row>
    <row r="392" spans="1:6" ht="17" x14ac:dyDescent="0.2">
      <c r="A392" s="8">
        <v>45537</v>
      </c>
      <c r="B392" s="8" t="s">
        <v>22</v>
      </c>
      <c r="C392" s="2" t="s">
        <v>36</v>
      </c>
      <c r="D392" s="6">
        <v>30</v>
      </c>
      <c r="F392" s="28" t="s">
        <v>306</v>
      </c>
    </row>
    <row r="393" spans="1:6" ht="17" x14ac:dyDescent="0.2">
      <c r="A393" s="8">
        <v>45538</v>
      </c>
      <c r="B393" s="8" t="s">
        <v>22</v>
      </c>
      <c r="C393" s="2" t="s">
        <v>36</v>
      </c>
      <c r="D393" s="6">
        <v>535</v>
      </c>
      <c r="F393" s="28" t="s">
        <v>308</v>
      </c>
    </row>
    <row r="394" spans="1:6" ht="17" x14ac:dyDescent="0.2">
      <c r="A394" s="8">
        <v>45539</v>
      </c>
      <c r="B394" s="8" t="s">
        <v>22</v>
      </c>
      <c r="C394" s="2" t="s">
        <v>36</v>
      </c>
      <c r="D394" s="6">
        <v>110</v>
      </c>
      <c r="F394" s="28" t="s">
        <v>309</v>
      </c>
    </row>
    <row r="395" spans="1:6" ht="17" x14ac:dyDescent="0.2">
      <c r="A395" s="8">
        <v>45539</v>
      </c>
      <c r="B395" s="8" t="s">
        <v>22</v>
      </c>
      <c r="C395" s="2" t="s">
        <v>36</v>
      </c>
      <c r="D395" s="6">
        <v>150</v>
      </c>
      <c r="F395" s="28" t="s">
        <v>311</v>
      </c>
    </row>
    <row r="396" spans="1:6" ht="34" x14ac:dyDescent="0.2">
      <c r="A396" s="8">
        <v>45551</v>
      </c>
      <c r="B396" s="8" t="s">
        <v>22</v>
      </c>
      <c r="C396" s="2" t="s">
        <v>36</v>
      </c>
      <c r="D396" s="6">
        <v>175</v>
      </c>
      <c r="F396" s="28" t="s">
        <v>317</v>
      </c>
    </row>
    <row r="397" spans="1:6" ht="17" x14ac:dyDescent="0.2">
      <c r="A397" s="8">
        <v>45552</v>
      </c>
      <c r="B397" s="8" t="s">
        <v>22</v>
      </c>
      <c r="C397" s="2" t="s">
        <v>36</v>
      </c>
      <c r="D397" s="6">
        <v>90</v>
      </c>
      <c r="F397" s="28" t="s">
        <v>319</v>
      </c>
    </row>
    <row r="398" spans="1:6" ht="17" x14ac:dyDescent="0.2">
      <c r="A398" s="8">
        <v>45555</v>
      </c>
      <c r="B398" s="8" t="s">
        <v>22</v>
      </c>
      <c r="C398" s="2" t="s">
        <v>36</v>
      </c>
      <c r="D398" s="6">
        <v>175</v>
      </c>
      <c r="F398" s="28" t="s">
        <v>51</v>
      </c>
    </row>
    <row r="399" spans="1:6" ht="34" x14ac:dyDescent="0.2">
      <c r="A399" s="8">
        <v>45555</v>
      </c>
      <c r="B399" s="8" t="s">
        <v>22</v>
      </c>
      <c r="C399" s="2" t="s">
        <v>36</v>
      </c>
      <c r="D399" s="6">
        <v>4628.51</v>
      </c>
      <c r="F399" s="28" t="s">
        <v>330</v>
      </c>
    </row>
    <row r="400" spans="1:6" ht="17" x14ac:dyDescent="0.2">
      <c r="A400" s="8">
        <v>45561</v>
      </c>
      <c r="B400" s="8" t="s">
        <v>22</v>
      </c>
      <c r="C400" s="2" t="s">
        <v>36</v>
      </c>
      <c r="D400" s="6">
        <v>50</v>
      </c>
      <c r="F400" s="28" t="s">
        <v>341</v>
      </c>
    </row>
    <row r="401" spans="1:7" ht="17" x14ac:dyDescent="0.2">
      <c r="A401" s="8">
        <v>45561</v>
      </c>
      <c r="B401" s="8" t="s">
        <v>22</v>
      </c>
      <c r="C401" s="2" t="s">
        <v>36</v>
      </c>
      <c r="D401" s="6">
        <v>150</v>
      </c>
      <c r="F401" s="28" t="s">
        <v>342</v>
      </c>
    </row>
    <row r="402" spans="1:7" ht="17" x14ac:dyDescent="0.2">
      <c r="A402" s="8">
        <v>45561</v>
      </c>
      <c r="B402" s="8" t="s">
        <v>22</v>
      </c>
      <c r="C402" s="2" t="s">
        <v>36</v>
      </c>
      <c r="D402" s="6">
        <v>-100</v>
      </c>
      <c r="F402" s="28" t="s">
        <v>348</v>
      </c>
    </row>
    <row r="403" spans="1:7" ht="17" x14ac:dyDescent="0.2">
      <c r="A403" s="8">
        <v>45566</v>
      </c>
      <c r="B403" s="8" t="s">
        <v>22</v>
      </c>
      <c r="C403" s="2" t="s">
        <v>36</v>
      </c>
      <c r="D403" s="6">
        <v>80</v>
      </c>
      <c r="F403" s="28" t="s">
        <v>353</v>
      </c>
    </row>
    <row r="404" spans="1:7" ht="17" x14ac:dyDescent="0.2">
      <c r="A404" s="8">
        <v>45568</v>
      </c>
      <c r="B404" s="8" t="s">
        <v>22</v>
      </c>
      <c r="C404" s="2" t="s">
        <v>36</v>
      </c>
      <c r="D404" s="6">
        <v>100</v>
      </c>
      <c r="F404" s="28" t="s">
        <v>26</v>
      </c>
      <c r="G404" s="2" t="s">
        <v>411</v>
      </c>
    </row>
    <row r="405" spans="1:7" ht="17" x14ac:dyDescent="0.2">
      <c r="A405" s="8">
        <v>45571</v>
      </c>
      <c r="B405" s="8" t="s">
        <v>22</v>
      </c>
      <c r="C405" s="2" t="s">
        <v>36</v>
      </c>
      <c r="D405" s="6">
        <v>385</v>
      </c>
      <c r="F405" s="28" t="s">
        <v>356</v>
      </c>
    </row>
    <row r="406" spans="1:7" ht="17" x14ac:dyDescent="0.2">
      <c r="A406" s="8">
        <v>45578</v>
      </c>
      <c r="B406" s="8" t="s">
        <v>22</v>
      </c>
      <c r="C406" s="2" t="s">
        <v>36</v>
      </c>
      <c r="D406" s="6">
        <v>150</v>
      </c>
      <c r="F406" s="28" t="s">
        <v>359</v>
      </c>
      <c r="G406" s="2" t="s">
        <v>312</v>
      </c>
    </row>
    <row r="407" spans="1:7" ht="17" x14ac:dyDescent="0.2">
      <c r="A407" s="8">
        <v>45586</v>
      </c>
      <c r="B407" s="8" t="s">
        <v>22</v>
      </c>
      <c r="C407" s="2" t="s">
        <v>36</v>
      </c>
      <c r="D407" s="6">
        <v>265</v>
      </c>
      <c r="F407" s="28" t="s">
        <v>350</v>
      </c>
      <c r="G407" s="2" t="s">
        <v>413</v>
      </c>
    </row>
    <row r="408" spans="1:7" ht="17" x14ac:dyDescent="0.2">
      <c r="A408" s="8">
        <v>45604</v>
      </c>
      <c r="B408" s="8" t="s">
        <v>22</v>
      </c>
      <c r="C408" s="2" t="s">
        <v>36</v>
      </c>
      <c r="D408" s="6">
        <v>80</v>
      </c>
      <c r="F408" s="28" t="s">
        <v>403</v>
      </c>
      <c r="G408" s="2" t="s">
        <v>295</v>
      </c>
    </row>
    <row r="409" spans="1:7" ht="17" x14ac:dyDescent="0.2">
      <c r="A409" s="8">
        <v>45606</v>
      </c>
      <c r="B409" s="8" t="s">
        <v>22</v>
      </c>
      <c r="C409" s="2" t="s">
        <v>36</v>
      </c>
      <c r="D409" s="6">
        <v>45</v>
      </c>
      <c r="F409" s="28" t="s">
        <v>398</v>
      </c>
      <c r="G409" s="2" t="s">
        <v>302</v>
      </c>
    </row>
    <row r="410" spans="1:7" ht="17" x14ac:dyDescent="0.2">
      <c r="A410" s="8">
        <v>45617</v>
      </c>
      <c r="B410" s="8" t="s">
        <v>22</v>
      </c>
      <c r="C410" s="2" t="s">
        <v>36</v>
      </c>
      <c r="D410" s="6">
        <v>190</v>
      </c>
      <c r="F410" s="28" t="s">
        <v>387</v>
      </c>
    </row>
    <row r="411" spans="1:7" ht="17" x14ac:dyDescent="0.2">
      <c r="A411" s="8">
        <v>45618</v>
      </c>
      <c r="B411" s="8" t="s">
        <v>22</v>
      </c>
      <c r="C411" s="2" t="s">
        <v>36</v>
      </c>
      <c r="D411" s="6">
        <v>300</v>
      </c>
      <c r="F411" s="28" t="s">
        <v>388</v>
      </c>
    </row>
    <row r="412" spans="1:7" ht="17" x14ac:dyDescent="0.2">
      <c r="A412" s="8">
        <v>45624</v>
      </c>
      <c r="B412" s="8" t="s">
        <v>22</v>
      </c>
      <c r="C412" s="2" t="s">
        <v>36</v>
      </c>
      <c r="D412" s="6">
        <v>90</v>
      </c>
      <c r="F412" s="28" t="s">
        <v>377</v>
      </c>
    </row>
    <row r="413" spans="1:7" ht="17" x14ac:dyDescent="0.2">
      <c r="A413" s="8">
        <v>45624</v>
      </c>
      <c r="B413" s="8" t="s">
        <v>22</v>
      </c>
      <c r="C413" s="2" t="s">
        <v>36</v>
      </c>
      <c r="D413" s="6">
        <v>60</v>
      </c>
      <c r="F413" s="28" t="s">
        <v>378</v>
      </c>
    </row>
    <row r="414" spans="1:7" ht="17" x14ac:dyDescent="0.2">
      <c r="A414" s="8">
        <v>45625</v>
      </c>
      <c r="B414" s="8" t="s">
        <v>22</v>
      </c>
      <c r="C414" s="2" t="s">
        <v>36</v>
      </c>
      <c r="D414" s="6">
        <v>120</v>
      </c>
      <c r="F414" s="28" t="s">
        <v>369</v>
      </c>
    </row>
    <row r="415" spans="1:7" ht="17" x14ac:dyDescent="0.2">
      <c r="A415" s="8">
        <v>45625</v>
      </c>
      <c r="B415" s="8" t="s">
        <v>22</v>
      </c>
      <c r="C415" s="2" t="s">
        <v>36</v>
      </c>
      <c r="D415" s="6">
        <v>95</v>
      </c>
      <c r="F415" s="28" t="s">
        <v>360</v>
      </c>
    </row>
    <row r="416" spans="1:7" ht="17" x14ac:dyDescent="0.2">
      <c r="A416" s="8">
        <v>45626</v>
      </c>
      <c r="B416" s="8" t="s">
        <v>22</v>
      </c>
      <c r="C416" s="2" t="s">
        <v>36</v>
      </c>
      <c r="D416" s="6">
        <v>761</v>
      </c>
      <c r="F416" s="28" t="s">
        <v>372</v>
      </c>
    </row>
    <row r="417" spans="1:7" ht="17" x14ac:dyDescent="0.2">
      <c r="A417" s="8">
        <v>45626</v>
      </c>
      <c r="B417" s="8" t="s">
        <v>22</v>
      </c>
      <c r="C417" s="2" t="s">
        <v>36</v>
      </c>
      <c r="D417" s="6">
        <v>95</v>
      </c>
      <c r="F417" s="28" t="s">
        <v>360</v>
      </c>
    </row>
    <row r="418" spans="1:7" ht="17" x14ac:dyDescent="0.2">
      <c r="A418" s="8">
        <v>45627</v>
      </c>
      <c r="B418" s="8" t="s">
        <v>22</v>
      </c>
      <c r="C418" s="2" t="s">
        <v>36</v>
      </c>
      <c r="D418" s="6">
        <v>-2500</v>
      </c>
      <c r="F418" s="28" t="s">
        <v>407</v>
      </c>
    </row>
    <row r="419" spans="1:7" ht="17" x14ac:dyDescent="0.2">
      <c r="A419" s="8">
        <v>45639</v>
      </c>
      <c r="B419" s="8" t="s">
        <v>22</v>
      </c>
      <c r="C419" s="2" t="s">
        <v>36</v>
      </c>
      <c r="D419" s="6">
        <v>465</v>
      </c>
      <c r="F419" s="28" t="s">
        <v>410</v>
      </c>
      <c r="G419" s="2" t="s">
        <v>424</v>
      </c>
    </row>
    <row r="420" spans="1:7" x14ac:dyDescent="0.2">
      <c r="A420" s="8">
        <v>45663</v>
      </c>
      <c r="B420" s="8" t="s">
        <v>22</v>
      </c>
      <c r="C420" s="2" t="s">
        <v>36</v>
      </c>
      <c r="D420" s="6">
        <v>1250</v>
      </c>
    </row>
    <row r="421" spans="1:7" ht="17" x14ac:dyDescent="0.2">
      <c r="A421" s="8">
        <v>45539</v>
      </c>
      <c r="B421" s="8" t="s">
        <v>23</v>
      </c>
      <c r="C421" s="2" t="s">
        <v>242</v>
      </c>
      <c r="D421" s="6">
        <v>2700</v>
      </c>
      <c r="F421" s="28" t="s">
        <v>313</v>
      </c>
    </row>
    <row r="422" spans="1:7" ht="34" x14ac:dyDescent="0.2">
      <c r="A422" s="8">
        <v>45525</v>
      </c>
      <c r="C422" s="2" t="s">
        <v>289</v>
      </c>
      <c r="D422" s="6">
        <v>1480</v>
      </c>
      <c r="F422" s="28" t="s">
        <v>290</v>
      </c>
    </row>
    <row r="423" spans="1:7" ht="17" x14ac:dyDescent="0.2">
      <c r="A423" s="8">
        <v>45532</v>
      </c>
      <c r="C423" s="2" t="s">
        <v>289</v>
      </c>
      <c r="D423" s="6">
        <v>7940</v>
      </c>
      <c r="F423" s="28" t="s">
        <v>297</v>
      </c>
    </row>
    <row r="424" spans="1:7" ht="34" x14ac:dyDescent="0.2">
      <c r="A424" s="8">
        <v>45532</v>
      </c>
      <c r="C424" s="2" t="s">
        <v>289</v>
      </c>
      <c r="D424" s="6">
        <v>3310</v>
      </c>
      <c r="F424" s="28" t="s">
        <v>301</v>
      </c>
    </row>
    <row r="425" spans="1:7" ht="17" x14ac:dyDescent="0.2">
      <c r="A425" s="8">
        <v>45586</v>
      </c>
      <c r="C425" s="2" t="s">
        <v>289</v>
      </c>
      <c r="D425" s="6">
        <v>500</v>
      </c>
      <c r="F425" s="28" t="s">
        <v>351</v>
      </c>
    </row>
    <row r="426" spans="1:7" ht="17" x14ac:dyDescent="0.2">
      <c r="A426" s="8">
        <v>45587</v>
      </c>
      <c r="C426" s="2" t="s">
        <v>289</v>
      </c>
      <c r="D426" s="6">
        <v>1060</v>
      </c>
      <c r="F426" s="28" t="s">
        <v>370</v>
      </c>
    </row>
    <row r="427" spans="1:7" ht="17" x14ac:dyDescent="0.2">
      <c r="A427" s="8">
        <v>45622</v>
      </c>
      <c r="C427" s="2" t="s">
        <v>289</v>
      </c>
      <c r="D427" s="6">
        <v>45000</v>
      </c>
      <c r="F427" s="28" t="s">
        <v>380</v>
      </c>
    </row>
    <row r="428" spans="1:7" ht="17" x14ac:dyDescent="0.2">
      <c r="A428" s="8">
        <v>45638</v>
      </c>
      <c r="C428" s="2" t="s">
        <v>289</v>
      </c>
      <c r="D428" s="6">
        <v>-20000</v>
      </c>
      <c r="F428" s="28" t="s">
        <v>381</v>
      </c>
    </row>
    <row r="429" spans="1:7" ht="17" x14ac:dyDescent="0.2">
      <c r="A429" s="8">
        <v>45677</v>
      </c>
      <c r="C429" s="2" t="s">
        <v>289</v>
      </c>
      <c r="D429" s="6">
        <v>500</v>
      </c>
      <c r="F429" s="28" t="s">
        <v>428</v>
      </c>
    </row>
    <row r="430" spans="1:7" ht="17" x14ac:dyDescent="0.2">
      <c r="A430" s="8">
        <v>45395</v>
      </c>
      <c r="C430" s="2" t="s">
        <v>221</v>
      </c>
      <c r="D430" s="6">
        <v>10</v>
      </c>
      <c r="E430" s="2" t="s">
        <v>5</v>
      </c>
      <c r="F430" s="28" t="s">
        <v>220</v>
      </c>
      <c r="G430" s="2" t="s">
        <v>426</v>
      </c>
    </row>
    <row r="431" spans="1:7" ht="17" x14ac:dyDescent="0.2">
      <c r="A431" s="8">
        <v>45428</v>
      </c>
      <c r="C431" s="2" t="s">
        <v>221</v>
      </c>
      <c r="D431" s="6">
        <v>10</v>
      </c>
      <c r="E431" s="2" t="s">
        <v>5</v>
      </c>
      <c r="F431" s="28" t="s">
        <v>253</v>
      </c>
    </row>
    <row r="432" spans="1:7" ht="17" x14ac:dyDescent="0.2">
      <c r="A432" s="8">
        <v>45626</v>
      </c>
      <c r="B432" s="8" t="s">
        <v>22</v>
      </c>
      <c r="C432" s="2" t="s">
        <v>274</v>
      </c>
      <c r="D432" s="6">
        <v>761</v>
      </c>
      <c r="F432" s="28" t="s">
        <v>372</v>
      </c>
    </row>
    <row r="433" spans="1:6" ht="17" x14ac:dyDescent="0.2">
      <c r="A433" s="8">
        <v>45639</v>
      </c>
      <c r="B433" s="8" t="s">
        <v>22</v>
      </c>
      <c r="C433" s="2" t="s">
        <v>274</v>
      </c>
      <c r="D433" s="6">
        <v>465</v>
      </c>
      <c r="F433" s="28" t="s">
        <v>410</v>
      </c>
    </row>
    <row r="434" spans="1:6" x14ac:dyDescent="0.2">
      <c r="A434" s="8">
        <v>45663</v>
      </c>
      <c r="B434" s="8" t="s">
        <v>22</v>
      </c>
      <c r="C434" s="2" t="s">
        <v>274</v>
      </c>
      <c r="D434" s="6">
        <v>1050</v>
      </c>
    </row>
    <row r="435" spans="1:6" ht="17" x14ac:dyDescent="0.2">
      <c r="A435" s="8">
        <v>45504</v>
      </c>
      <c r="C435" s="2" t="s">
        <v>11</v>
      </c>
      <c r="D435" s="6">
        <v>5130</v>
      </c>
      <c r="F435" s="28" t="s">
        <v>412</v>
      </c>
    </row>
    <row r="436" spans="1:6" ht="17" x14ac:dyDescent="0.2">
      <c r="A436" s="8">
        <v>45507</v>
      </c>
      <c r="C436" s="2" t="s">
        <v>11</v>
      </c>
      <c r="D436" s="6">
        <v>90</v>
      </c>
      <c r="F436" s="28" t="s">
        <v>261</v>
      </c>
    </row>
    <row r="437" spans="1:6" ht="17" x14ac:dyDescent="0.2">
      <c r="A437" s="8">
        <v>45507</v>
      </c>
      <c r="C437" s="2" t="s">
        <v>11</v>
      </c>
      <c r="D437" s="6">
        <v>275</v>
      </c>
      <c r="F437" s="28" t="s">
        <v>262</v>
      </c>
    </row>
    <row r="438" spans="1:6" ht="17" x14ac:dyDescent="0.2">
      <c r="A438" s="8">
        <v>45512</v>
      </c>
      <c r="C438" s="2" t="s">
        <v>11</v>
      </c>
      <c r="D438" s="6">
        <v>875</v>
      </c>
      <c r="F438" s="28" t="s">
        <v>271</v>
      </c>
    </row>
    <row r="439" spans="1:6" ht="17" x14ac:dyDescent="0.2">
      <c r="A439" s="8">
        <v>45518</v>
      </c>
      <c r="C439" s="2" t="s">
        <v>11</v>
      </c>
      <c r="D439" s="6">
        <v>225</v>
      </c>
      <c r="F439" s="28" t="s">
        <v>277</v>
      </c>
    </row>
    <row r="440" spans="1:6" ht="17" x14ac:dyDescent="0.2">
      <c r="A440" s="8">
        <v>45519</v>
      </c>
      <c r="C440" s="2" t="s">
        <v>11</v>
      </c>
      <c r="D440" s="6">
        <v>34</v>
      </c>
      <c r="F440" s="28" t="s">
        <v>300</v>
      </c>
    </row>
    <row r="441" spans="1:6" ht="17" x14ac:dyDescent="0.2">
      <c r="A441" s="8">
        <v>45520</v>
      </c>
      <c r="C441" s="2" t="s">
        <v>11</v>
      </c>
      <c r="D441" s="6">
        <v>25</v>
      </c>
      <c r="F441" s="28" t="s">
        <v>280</v>
      </c>
    </row>
    <row r="442" spans="1:6" ht="17" x14ac:dyDescent="0.2">
      <c r="A442" s="8">
        <v>45520</v>
      </c>
      <c r="C442" s="2" t="s">
        <v>11</v>
      </c>
      <c r="D442" s="6">
        <v>373</v>
      </c>
      <c r="F442" s="28" t="s">
        <v>281</v>
      </c>
    </row>
    <row r="443" spans="1:6" ht="17" x14ac:dyDescent="0.2">
      <c r="A443" s="8">
        <v>45520</v>
      </c>
      <c r="C443" s="2" t="s">
        <v>11</v>
      </c>
      <c r="D443" s="6">
        <v>20</v>
      </c>
      <c r="F443" s="28" t="s">
        <v>282</v>
      </c>
    </row>
    <row r="444" spans="1:6" ht="17" x14ac:dyDescent="0.2">
      <c r="A444" s="8">
        <v>45520</v>
      </c>
      <c r="C444" s="2" t="s">
        <v>11</v>
      </c>
      <c r="D444" s="6">
        <v>100</v>
      </c>
      <c r="F444" s="28" t="s">
        <v>283</v>
      </c>
    </row>
    <row r="445" spans="1:6" ht="17" x14ac:dyDescent="0.2">
      <c r="A445" s="8">
        <v>45520</v>
      </c>
      <c r="C445" s="2" t="s">
        <v>11</v>
      </c>
      <c r="D445" s="6">
        <v>255</v>
      </c>
      <c r="F445" s="28" t="s">
        <v>284</v>
      </c>
    </row>
    <row r="446" spans="1:6" ht="17" x14ac:dyDescent="0.2">
      <c r="A446" s="8">
        <v>45533</v>
      </c>
      <c r="C446" s="2" t="s">
        <v>11</v>
      </c>
      <c r="D446" s="6">
        <v>156</v>
      </c>
      <c r="F446" s="28" t="s">
        <v>296</v>
      </c>
    </row>
    <row r="447" spans="1:6" ht="17" x14ac:dyDescent="0.2">
      <c r="A447" s="8">
        <v>45533</v>
      </c>
      <c r="C447" s="2" t="s">
        <v>11</v>
      </c>
      <c r="D447" s="6">
        <v>140</v>
      </c>
      <c r="F447" s="28" t="s">
        <v>298</v>
      </c>
    </row>
    <row r="448" spans="1:6" ht="34" x14ac:dyDescent="0.2">
      <c r="A448" s="8">
        <v>45541</v>
      </c>
      <c r="C448" s="2" t="s">
        <v>11</v>
      </c>
      <c r="D448" s="6">
        <v>70</v>
      </c>
      <c r="F448" s="28" t="s">
        <v>314</v>
      </c>
    </row>
    <row r="449" spans="1:6" ht="17" x14ac:dyDescent="0.2">
      <c r="A449" s="8">
        <v>45550</v>
      </c>
      <c r="C449" s="2" t="s">
        <v>11</v>
      </c>
      <c r="D449" s="6">
        <v>34</v>
      </c>
      <c r="F449" s="28" t="s">
        <v>320</v>
      </c>
    </row>
    <row r="450" spans="1:6" ht="17" x14ac:dyDescent="0.2">
      <c r="A450" s="8">
        <v>45552</v>
      </c>
      <c r="C450" s="2" t="s">
        <v>11</v>
      </c>
      <c r="D450" s="6">
        <v>60</v>
      </c>
      <c r="F450" s="28" t="s">
        <v>318</v>
      </c>
    </row>
    <row r="451" spans="1:6" ht="17" x14ac:dyDescent="0.2">
      <c r="A451" s="8">
        <v>45555</v>
      </c>
      <c r="C451" s="2" t="s">
        <v>11</v>
      </c>
      <c r="D451" s="6">
        <v>250</v>
      </c>
      <c r="F451" s="28" t="s">
        <v>326</v>
      </c>
    </row>
    <row r="452" spans="1:6" ht="17" x14ac:dyDescent="0.2">
      <c r="A452" s="8">
        <v>45555</v>
      </c>
      <c r="C452" s="2" t="s">
        <v>11</v>
      </c>
      <c r="D452" s="6">
        <v>120</v>
      </c>
      <c r="F452" s="28" t="s">
        <v>327</v>
      </c>
    </row>
    <row r="453" spans="1:6" ht="17" x14ac:dyDescent="0.2">
      <c r="A453" s="8">
        <v>45558</v>
      </c>
      <c r="C453" s="2" t="s">
        <v>11</v>
      </c>
      <c r="D453" s="6">
        <v>165</v>
      </c>
      <c r="F453" s="28" t="s">
        <v>337</v>
      </c>
    </row>
    <row r="454" spans="1:6" ht="17" x14ac:dyDescent="0.2">
      <c r="A454" s="8">
        <v>45561</v>
      </c>
      <c r="C454" s="2" t="s">
        <v>11</v>
      </c>
      <c r="D454" s="6">
        <v>150</v>
      </c>
      <c r="F454" s="28" t="s">
        <v>342</v>
      </c>
    </row>
    <row r="455" spans="1:6" ht="17" x14ac:dyDescent="0.2">
      <c r="A455" s="8">
        <v>45562</v>
      </c>
      <c r="C455" s="2" t="s">
        <v>11</v>
      </c>
      <c r="D455" s="6">
        <v>110</v>
      </c>
      <c r="F455" s="28" t="s">
        <v>176</v>
      </c>
    </row>
    <row r="456" spans="1:6" ht="17" x14ac:dyDescent="0.2">
      <c r="A456" s="8">
        <v>45566</v>
      </c>
      <c r="C456" s="2" t="s">
        <v>11</v>
      </c>
      <c r="D456" s="6">
        <v>100</v>
      </c>
      <c r="F456" s="28" t="s">
        <v>354</v>
      </c>
    </row>
    <row r="457" spans="1:6" ht="17" x14ac:dyDescent="0.2">
      <c r="A457" s="8">
        <v>45572</v>
      </c>
      <c r="C457" s="2" t="s">
        <v>11</v>
      </c>
      <c r="D457" s="6">
        <v>185</v>
      </c>
      <c r="F457" s="28" t="s">
        <v>355</v>
      </c>
    </row>
    <row r="458" spans="1:6" ht="17" x14ac:dyDescent="0.2">
      <c r="A458" s="8">
        <v>45573</v>
      </c>
      <c r="C458" s="2" t="s">
        <v>11</v>
      </c>
      <c r="D458" s="6">
        <v>100</v>
      </c>
      <c r="F458" s="28" t="s">
        <v>357</v>
      </c>
    </row>
    <row r="459" spans="1:6" ht="17" x14ac:dyDescent="0.2">
      <c r="A459" s="8">
        <v>45579</v>
      </c>
      <c r="C459" s="2" t="s">
        <v>11</v>
      </c>
      <c r="D459" s="6">
        <v>80</v>
      </c>
      <c r="F459" s="28" t="s">
        <v>205</v>
      </c>
    </row>
    <row r="460" spans="1:6" ht="17" x14ac:dyDescent="0.2">
      <c r="A460" s="8">
        <v>45580</v>
      </c>
      <c r="C460" s="2" t="s">
        <v>11</v>
      </c>
      <c r="D460" s="6">
        <v>34</v>
      </c>
      <c r="F460" s="28" t="s">
        <v>415</v>
      </c>
    </row>
    <row r="461" spans="1:6" ht="17" x14ac:dyDescent="0.2">
      <c r="A461" s="8">
        <v>45586</v>
      </c>
      <c r="C461" s="2" t="s">
        <v>11</v>
      </c>
      <c r="D461" s="6">
        <v>110</v>
      </c>
      <c r="F461" s="28" t="s">
        <v>196</v>
      </c>
    </row>
    <row r="462" spans="1:6" ht="17" x14ac:dyDescent="0.2">
      <c r="A462" s="8">
        <v>45587</v>
      </c>
      <c r="C462" s="2" t="s">
        <v>11</v>
      </c>
      <c r="D462" s="6">
        <v>80</v>
      </c>
      <c r="F462" s="28" t="s">
        <v>205</v>
      </c>
    </row>
    <row r="463" spans="1:6" ht="17" x14ac:dyDescent="0.2">
      <c r="A463" s="8">
        <v>45602</v>
      </c>
      <c r="C463" s="2" t="s">
        <v>11</v>
      </c>
      <c r="D463" s="6">
        <v>60</v>
      </c>
      <c r="F463" s="28" t="s">
        <v>401</v>
      </c>
    </row>
    <row r="464" spans="1:6" ht="17" x14ac:dyDescent="0.2">
      <c r="A464" s="8">
        <v>45604</v>
      </c>
      <c r="C464" s="2" t="s">
        <v>11</v>
      </c>
      <c r="D464" s="6">
        <v>150</v>
      </c>
      <c r="F464" s="28" t="s">
        <v>400</v>
      </c>
    </row>
    <row r="465" spans="1:7" ht="17" x14ac:dyDescent="0.2">
      <c r="A465" s="8">
        <v>45604</v>
      </c>
      <c r="C465" s="2" t="s">
        <v>11</v>
      </c>
      <c r="D465" s="6">
        <v>80</v>
      </c>
      <c r="F465" s="28" t="s">
        <v>399</v>
      </c>
      <c r="G465" s="2" t="s">
        <v>393</v>
      </c>
    </row>
    <row r="466" spans="1:7" ht="68" x14ac:dyDescent="0.2">
      <c r="A466" s="8">
        <v>45609</v>
      </c>
      <c r="C466" s="2" t="s">
        <v>11</v>
      </c>
      <c r="D466" s="6">
        <v>2407</v>
      </c>
      <c r="F466" s="28" t="s">
        <v>394</v>
      </c>
    </row>
    <row r="467" spans="1:7" ht="17" x14ac:dyDescent="0.2">
      <c r="A467" s="8">
        <v>45611</v>
      </c>
      <c r="C467" s="2" t="s">
        <v>11</v>
      </c>
      <c r="D467" s="6">
        <v>34</v>
      </c>
      <c r="F467" s="28" t="s">
        <v>416</v>
      </c>
    </row>
    <row r="468" spans="1:7" ht="17" x14ac:dyDescent="0.2">
      <c r="A468" s="8">
        <v>45626</v>
      </c>
      <c r="C468" s="2" t="s">
        <v>11</v>
      </c>
      <c r="D468" s="6">
        <v>140</v>
      </c>
      <c r="F468" s="28" t="s">
        <v>371</v>
      </c>
    </row>
    <row r="469" spans="1:7" ht="17" x14ac:dyDescent="0.2">
      <c r="A469" s="8">
        <v>45626</v>
      </c>
      <c r="C469" s="2" t="s">
        <v>11</v>
      </c>
      <c r="D469" s="6">
        <v>761</v>
      </c>
      <c r="F469" s="28" t="s">
        <v>372</v>
      </c>
    </row>
    <row r="470" spans="1:7" ht="17" x14ac:dyDescent="0.2">
      <c r="A470" s="8">
        <v>45638</v>
      </c>
      <c r="C470" s="2" t="s">
        <v>11</v>
      </c>
      <c r="D470" s="6">
        <v>80</v>
      </c>
      <c r="F470" s="28" t="s">
        <v>205</v>
      </c>
    </row>
    <row r="471" spans="1:7" ht="17" x14ac:dyDescent="0.2">
      <c r="A471" s="8">
        <v>45639</v>
      </c>
      <c r="C471" s="2" t="s">
        <v>11</v>
      </c>
      <c r="D471" s="6">
        <v>465</v>
      </c>
      <c r="F471" s="28" t="s">
        <v>410</v>
      </c>
    </row>
    <row r="472" spans="1:7" ht="17" x14ac:dyDescent="0.2">
      <c r="A472" s="8">
        <v>45641</v>
      </c>
      <c r="C472" s="2" t="s">
        <v>11</v>
      </c>
      <c r="D472" s="6">
        <v>34</v>
      </c>
      <c r="F472" s="28" t="s">
        <v>414</v>
      </c>
    </row>
    <row r="473" spans="1:7" x14ac:dyDescent="0.2">
      <c r="A473" s="8">
        <v>45663</v>
      </c>
      <c r="C473" s="2" t="s">
        <v>11</v>
      </c>
      <c r="D473" s="6">
        <v>1450</v>
      </c>
    </row>
    <row r="474" spans="1:7" ht="17" x14ac:dyDescent="0.2">
      <c r="A474" s="8">
        <v>45670</v>
      </c>
      <c r="C474" s="2" t="s">
        <v>11</v>
      </c>
      <c r="D474" s="6">
        <v>408</v>
      </c>
      <c r="F474" s="28" t="s">
        <v>425</v>
      </c>
    </row>
    <row r="475" spans="1:7" ht="17" x14ac:dyDescent="0.2">
      <c r="A475" s="8">
        <v>45674</v>
      </c>
      <c r="C475" s="2" t="s">
        <v>11</v>
      </c>
      <c r="D475" s="6">
        <v>200</v>
      </c>
      <c r="F475" s="28" t="s">
        <v>427</v>
      </c>
    </row>
    <row r="476" spans="1:7" ht="17" x14ac:dyDescent="0.2">
      <c r="A476" s="8">
        <v>45667</v>
      </c>
      <c r="C476" s="2" t="s">
        <v>421</v>
      </c>
      <c r="D476" s="6">
        <v>1000</v>
      </c>
      <c r="F476" s="28" t="s">
        <v>422</v>
      </c>
    </row>
    <row r="477" spans="1:7" ht="17" x14ac:dyDescent="0.2">
      <c r="A477" s="8">
        <v>45486</v>
      </c>
      <c r="C477" s="2" t="s">
        <v>3</v>
      </c>
      <c r="D477" s="6">
        <v>68</v>
      </c>
      <c r="F477" s="28" t="s">
        <v>254</v>
      </c>
    </row>
    <row r="478" spans="1:7" ht="17" x14ac:dyDescent="0.2">
      <c r="A478" s="8">
        <v>45498</v>
      </c>
      <c r="C478" s="2" t="s">
        <v>3</v>
      </c>
      <c r="D478" s="6">
        <v>15</v>
      </c>
      <c r="F478" s="28" t="s">
        <v>7</v>
      </c>
    </row>
    <row r="479" spans="1:7" ht="17" x14ac:dyDescent="0.2">
      <c r="A479" s="8">
        <v>45504</v>
      </c>
      <c r="C479" s="2" t="s">
        <v>3</v>
      </c>
      <c r="D479" s="6">
        <v>5130</v>
      </c>
      <c r="F479" s="28" t="s">
        <v>412</v>
      </c>
    </row>
    <row r="480" spans="1:7" ht="17" x14ac:dyDescent="0.2">
      <c r="A480" s="8">
        <v>45506</v>
      </c>
      <c r="C480" s="2" t="s">
        <v>3</v>
      </c>
      <c r="D480" s="6">
        <v>100</v>
      </c>
      <c r="F480" s="28" t="s">
        <v>257</v>
      </c>
    </row>
    <row r="481" spans="1:7" ht="17" x14ac:dyDescent="0.2">
      <c r="A481" s="8">
        <v>45506</v>
      </c>
      <c r="C481" s="2" t="s">
        <v>3</v>
      </c>
      <c r="D481" s="6">
        <v>98</v>
      </c>
      <c r="F481" s="28" t="s">
        <v>258</v>
      </c>
    </row>
    <row r="482" spans="1:7" ht="17" x14ac:dyDescent="0.2">
      <c r="A482" s="8">
        <v>45506</v>
      </c>
      <c r="C482" s="2" t="s">
        <v>3</v>
      </c>
      <c r="D482" s="6">
        <v>20</v>
      </c>
      <c r="F482" s="28" t="s">
        <v>13</v>
      </c>
    </row>
    <row r="483" spans="1:7" ht="17" x14ac:dyDescent="0.2">
      <c r="A483" s="8">
        <v>45506</v>
      </c>
      <c r="C483" s="2" t="s">
        <v>3</v>
      </c>
      <c r="D483" s="6">
        <v>599</v>
      </c>
      <c r="F483" s="28" t="s">
        <v>299</v>
      </c>
    </row>
    <row r="484" spans="1:7" ht="17" x14ac:dyDescent="0.2">
      <c r="A484" s="8">
        <v>45507</v>
      </c>
      <c r="C484" s="2" t="s">
        <v>3</v>
      </c>
      <c r="D484" s="6">
        <v>30</v>
      </c>
      <c r="E484" s="6"/>
      <c r="F484" s="28" t="s">
        <v>259</v>
      </c>
    </row>
    <row r="485" spans="1:7" ht="17" x14ac:dyDescent="0.2">
      <c r="A485" s="8">
        <v>45507</v>
      </c>
      <c r="C485" s="2" t="s">
        <v>3</v>
      </c>
      <c r="D485" s="6">
        <v>215.53</v>
      </c>
      <c r="E485" s="6"/>
      <c r="F485" s="28" t="s">
        <v>260</v>
      </c>
    </row>
    <row r="486" spans="1:7" ht="17" x14ac:dyDescent="0.2">
      <c r="A486" s="8">
        <v>45507</v>
      </c>
      <c r="C486" s="2" t="s">
        <v>3</v>
      </c>
      <c r="D486" s="6">
        <v>90</v>
      </c>
      <c r="E486" s="6"/>
      <c r="F486" s="28" t="s">
        <v>261</v>
      </c>
      <c r="G486" s="2" t="s">
        <v>265</v>
      </c>
    </row>
    <row r="487" spans="1:7" ht="17" x14ac:dyDescent="0.2">
      <c r="A487" s="8">
        <v>45507</v>
      </c>
      <c r="C487" s="2" t="s">
        <v>3</v>
      </c>
      <c r="D487" s="6">
        <v>275</v>
      </c>
      <c r="F487" s="28" t="s">
        <v>262</v>
      </c>
    </row>
    <row r="488" spans="1:7" ht="17" x14ac:dyDescent="0.2">
      <c r="A488" s="8">
        <v>45508</v>
      </c>
      <c r="C488" s="2" t="s">
        <v>3</v>
      </c>
      <c r="D488" s="6">
        <v>40</v>
      </c>
      <c r="F488" s="28" t="s">
        <v>263</v>
      </c>
    </row>
    <row r="489" spans="1:7" ht="34" x14ac:dyDescent="0.2">
      <c r="A489" s="8">
        <v>45509</v>
      </c>
      <c r="C489" s="2" t="s">
        <v>3</v>
      </c>
      <c r="F489" s="28" t="s">
        <v>264</v>
      </c>
    </row>
    <row r="490" spans="1:7" ht="17" x14ac:dyDescent="0.2">
      <c r="A490" s="8">
        <v>45511</v>
      </c>
      <c r="C490" s="2" t="s">
        <v>3</v>
      </c>
      <c r="D490" s="6">
        <v>125</v>
      </c>
      <c r="F490" s="28" t="s">
        <v>266</v>
      </c>
    </row>
    <row r="491" spans="1:7" ht="17" x14ac:dyDescent="0.2">
      <c r="A491" s="8">
        <v>45511</v>
      </c>
      <c r="C491" s="2" t="s">
        <v>3</v>
      </c>
      <c r="D491" s="6">
        <v>40</v>
      </c>
      <c r="F491" s="28" t="s">
        <v>267</v>
      </c>
    </row>
    <row r="492" spans="1:7" ht="17" x14ac:dyDescent="0.2">
      <c r="A492" s="8">
        <v>45511</v>
      </c>
      <c r="C492" s="2" t="s">
        <v>3</v>
      </c>
      <c r="D492" s="6">
        <v>40</v>
      </c>
      <c r="F492" s="28" t="s">
        <v>268</v>
      </c>
    </row>
    <row r="493" spans="1:7" ht="17" x14ac:dyDescent="0.2">
      <c r="A493" s="8">
        <v>45511</v>
      </c>
      <c r="C493" s="2" t="s">
        <v>3</v>
      </c>
      <c r="D493" s="6">
        <v>262</v>
      </c>
      <c r="F493" s="28" t="s">
        <v>269</v>
      </c>
    </row>
    <row r="494" spans="1:7" ht="17" x14ac:dyDescent="0.2">
      <c r="A494" s="8">
        <v>45512</v>
      </c>
      <c r="C494" s="2" t="s">
        <v>3</v>
      </c>
      <c r="D494" s="6">
        <v>80</v>
      </c>
      <c r="F494" s="28" t="s">
        <v>270</v>
      </c>
    </row>
    <row r="495" spans="1:7" ht="17" x14ac:dyDescent="0.2">
      <c r="A495" s="8">
        <v>45512</v>
      </c>
      <c r="C495" s="2" t="s">
        <v>3</v>
      </c>
      <c r="D495" s="6">
        <v>875</v>
      </c>
      <c r="F495" s="28" t="s">
        <v>271</v>
      </c>
    </row>
    <row r="496" spans="1:7" ht="17" x14ac:dyDescent="0.2">
      <c r="A496" s="8">
        <v>45516</v>
      </c>
      <c r="C496" s="2" t="s">
        <v>3</v>
      </c>
      <c r="D496" s="6">
        <v>450</v>
      </c>
      <c r="F496" s="28" t="s">
        <v>272</v>
      </c>
    </row>
    <row r="497" spans="1:6" ht="17" x14ac:dyDescent="0.2">
      <c r="A497" s="8">
        <v>45517</v>
      </c>
      <c r="C497" s="2" t="s">
        <v>3</v>
      </c>
      <c r="D497" s="6">
        <v>68</v>
      </c>
      <c r="F497" s="28" t="s">
        <v>273</v>
      </c>
    </row>
    <row r="498" spans="1:6" ht="17" x14ac:dyDescent="0.2">
      <c r="A498" s="8">
        <v>45517</v>
      </c>
      <c r="C498" s="2" t="s">
        <v>3</v>
      </c>
      <c r="D498" s="6">
        <v>80</v>
      </c>
      <c r="F498" s="28" t="s">
        <v>275</v>
      </c>
    </row>
    <row r="499" spans="1:6" ht="17" x14ac:dyDescent="0.2">
      <c r="A499" s="8">
        <v>45517</v>
      </c>
      <c r="C499" s="2" t="s">
        <v>3</v>
      </c>
      <c r="D499" s="6">
        <v>135</v>
      </c>
      <c r="F499" s="28" t="s">
        <v>276</v>
      </c>
    </row>
    <row r="500" spans="1:6" ht="17" x14ac:dyDescent="0.2">
      <c r="A500" s="8">
        <v>45517</v>
      </c>
      <c r="C500" s="2" t="s">
        <v>3</v>
      </c>
      <c r="D500" s="6">
        <v>145</v>
      </c>
      <c r="F500" s="28" t="s">
        <v>32</v>
      </c>
    </row>
    <row r="501" spans="1:6" ht="17" x14ac:dyDescent="0.2">
      <c r="A501" s="8">
        <v>45518</v>
      </c>
      <c r="C501" s="2" t="s">
        <v>3</v>
      </c>
      <c r="D501" s="6">
        <v>225</v>
      </c>
      <c r="F501" s="28" t="s">
        <v>277</v>
      </c>
    </row>
    <row r="502" spans="1:6" ht="17" x14ac:dyDescent="0.2">
      <c r="A502" s="8">
        <v>45519</v>
      </c>
      <c r="C502" s="2" t="s">
        <v>3</v>
      </c>
      <c r="D502" s="6">
        <v>34</v>
      </c>
      <c r="F502" s="28" t="s">
        <v>300</v>
      </c>
    </row>
    <row r="503" spans="1:6" ht="17" x14ac:dyDescent="0.2">
      <c r="A503" s="8">
        <v>45520</v>
      </c>
      <c r="C503" s="2" t="s">
        <v>3</v>
      </c>
      <c r="D503" s="6">
        <v>25</v>
      </c>
      <c r="F503" s="28" t="s">
        <v>280</v>
      </c>
    </row>
    <row r="504" spans="1:6" ht="17" x14ac:dyDescent="0.2">
      <c r="A504" s="8">
        <v>45520</v>
      </c>
      <c r="C504" s="2" t="s">
        <v>3</v>
      </c>
      <c r="D504" s="6">
        <v>373</v>
      </c>
      <c r="F504" s="28" t="s">
        <v>281</v>
      </c>
    </row>
    <row r="505" spans="1:6" ht="17" x14ac:dyDescent="0.2">
      <c r="A505" s="8">
        <v>45520</v>
      </c>
      <c r="C505" s="2" t="s">
        <v>3</v>
      </c>
      <c r="D505" s="6">
        <v>20</v>
      </c>
      <c r="F505" s="28" t="s">
        <v>282</v>
      </c>
    </row>
    <row r="506" spans="1:6" ht="17" x14ac:dyDescent="0.2">
      <c r="A506" s="8">
        <v>45520</v>
      </c>
      <c r="C506" s="2" t="s">
        <v>3</v>
      </c>
      <c r="D506" s="6">
        <v>100</v>
      </c>
      <c r="F506" s="28" t="s">
        <v>283</v>
      </c>
    </row>
    <row r="507" spans="1:6" ht="17" x14ac:dyDescent="0.2">
      <c r="A507" s="8">
        <v>45520</v>
      </c>
      <c r="C507" s="2" t="s">
        <v>3</v>
      </c>
      <c r="D507" s="6">
        <v>255</v>
      </c>
      <c r="F507" s="28" t="s">
        <v>284</v>
      </c>
    </row>
    <row r="508" spans="1:6" ht="17" x14ac:dyDescent="0.2">
      <c r="A508" s="8">
        <v>45524</v>
      </c>
      <c r="C508" s="2" t="s">
        <v>3</v>
      </c>
      <c r="D508" s="6">
        <v>310</v>
      </c>
      <c r="F508" s="28" t="s">
        <v>286</v>
      </c>
    </row>
    <row r="509" spans="1:6" ht="17" x14ac:dyDescent="0.2">
      <c r="A509" s="8">
        <v>45524</v>
      </c>
      <c r="C509" s="2" t="s">
        <v>3</v>
      </c>
      <c r="D509" s="6">
        <v>135</v>
      </c>
      <c r="F509" s="28" t="s">
        <v>287</v>
      </c>
    </row>
    <row r="510" spans="1:6" ht="17" x14ac:dyDescent="0.2">
      <c r="A510" s="8">
        <v>45524</v>
      </c>
      <c r="C510" s="2" t="s">
        <v>3</v>
      </c>
      <c r="D510" s="6">
        <v>160</v>
      </c>
      <c r="F510" s="28" t="s">
        <v>288</v>
      </c>
    </row>
    <row r="511" spans="1:6" ht="17" x14ac:dyDescent="0.2">
      <c r="A511" s="8">
        <v>45525</v>
      </c>
      <c r="C511" s="2" t="s">
        <v>3</v>
      </c>
      <c r="D511" s="6">
        <v>430</v>
      </c>
      <c r="F511" s="28" t="s">
        <v>291</v>
      </c>
    </row>
    <row r="512" spans="1:6" ht="34" x14ac:dyDescent="0.2">
      <c r="A512" s="8">
        <v>45525</v>
      </c>
      <c r="C512" s="2" t="s">
        <v>3</v>
      </c>
      <c r="D512" s="6">
        <v>137</v>
      </c>
      <c r="F512" s="28" t="s">
        <v>294</v>
      </c>
    </row>
    <row r="513" spans="1:6" ht="17" x14ac:dyDescent="0.2">
      <c r="A513" s="8">
        <v>45526</v>
      </c>
      <c r="C513" s="2" t="s">
        <v>3</v>
      </c>
      <c r="D513" s="6">
        <v>189</v>
      </c>
      <c r="F513" s="28" t="s">
        <v>292</v>
      </c>
    </row>
    <row r="514" spans="1:6" ht="17" x14ac:dyDescent="0.2">
      <c r="A514" s="8">
        <v>45533</v>
      </c>
      <c r="C514" s="2" t="s">
        <v>3</v>
      </c>
      <c r="D514" s="6">
        <v>156</v>
      </c>
      <c r="F514" s="28" t="s">
        <v>296</v>
      </c>
    </row>
    <row r="515" spans="1:6" ht="17" x14ac:dyDescent="0.2">
      <c r="A515" s="8">
        <v>45533</v>
      </c>
      <c r="C515" s="2" t="s">
        <v>3</v>
      </c>
      <c r="D515" s="6">
        <v>140</v>
      </c>
      <c r="F515" s="28" t="s">
        <v>298</v>
      </c>
    </row>
    <row r="516" spans="1:6" ht="17" x14ac:dyDescent="0.2">
      <c r="A516" s="8">
        <v>45537</v>
      </c>
      <c r="C516" s="2" t="s">
        <v>3</v>
      </c>
      <c r="D516" s="6">
        <v>75</v>
      </c>
      <c r="F516" s="28" t="s">
        <v>304</v>
      </c>
    </row>
    <row r="517" spans="1:6" ht="17" x14ac:dyDescent="0.2">
      <c r="A517" s="8">
        <v>45537</v>
      </c>
      <c r="C517" s="2" t="s">
        <v>3</v>
      </c>
      <c r="D517" s="6">
        <v>120</v>
      </c>
      <c r="F517" s="28" t="s">
        <v>303</v>
      </c>
    </row>
    <row r="518" spans="1:6" ht="17" x14ac:dyDescent="0.2">
      <c r="A518" s="8">
        <v>45537</v>
      </c>
      <c r="C518" s="2" t="s">
        <v>3</v>
      </c>
      <c r="D518" s="6">
        <v>100</v>
      </c>
      <c r="F518" s="28" t="s">
        <v>305</v>
      </c>
    </row>
    <row r="519" spans="1:6" ht="17" x14ac:dyDescent="0.2">
      <c r="A519" s="8">
        <v>45538</v>
      </c>
      <c r="C519" s="2" t="s">
        <v>3</v>
      </c>
      <c r="D519" s="6">
        <v>48</v>
      </c>
      <c r="F519" s="28" t="s">
        <v>307</v>
      </c>
    </row>
    <row r="520" spans="1:6" ht="17" x14ac:dyDescent="0.2">
      <c r="A520" s="8">
        <v>45538</v>
      </c>
      <c r="C520" s="2" t="s">
        <v>3</v>
      </c>
      <c r="D520" s="6">
        <v>535</v>
      </c>
      <c r="F520" s="28" t="s">
        <v>308</v>
      </c>
    </row>
    <row r="521" spans="1:6" ht="17" x14ac:dyDescent="0.2">
      <c r="A521" s="8">
        <v>45539</v>
      </c>
      <c r="C521" s="2" t="s">
        <v>3</v>
      </c>
      <c r="D521" s="6">
        <v>110</v>
      </c>
      <c r="F521" s="28" t="s">
        <v>309</v>
      </c>
    </row>
    <row r="522" spans="1:6" ht="17" x14ac:dyDescent="0.2">
      <c r="A522" s="8">
        <v>45539</v>
      </c>
      <c r="C522" s="2" t="s">
        <v>3</v>
      </c>
      <c r="D522" s="6">
        <v>-700</v>
      </c>
      <c r="F522" s="28" t="s">
        <v>310</v>
      </c>
    </row>
    <row r="523" spans="1:6" ht="17" x14ac:dyDescent="0.2">
      <c r="A523" s="8">
        <v>45539</v>
      </c>
      <c r="C523" s="2" t="s">
        <v>3</v>
      </c>
      <c r="D523" s="6">
        <v>150</v>
      </c>
      <c r="F523" s="28" t="s">
        <v>311</v>
      </c>
    </row>
    <row r="524" spans="1:6" ht="34" x14ac:dyDescent="0.2">
      <c r="A524" s="8">
        <v>45541</v>
      </c>
      <c r="C524" s="2" t="s">
        <v>3</v>
      </c>
      <c r="D524" s="6">
        <v>65</v>
      </c>
      <c r="F524" s="28" t="s">
        <v>314</v>
      </c>
    </row>
    <row r="525" spans="1:6" ht="17" x14ac:dyDescent="0.2">
      <c r="A525" s="8">
        <v>45541</v>
      </c>
      <c r="C525" s="2" t="s">
        <v>3</v>
      </c>
      <c r="D525" s="6">
        <v>60</v>
      </c>
      <c r="F525" s="28" t="s">
        <v>316</v>
      </c>
    </row>
    <row r="526" spans="1:6" ht="17" x14ac:dyDescent="0.2">
      <c r="A526" s="8">
        <v>45550</v>
      </c>
      <c r="C526" s="2" t="s">
        <v>3</v>
      </c>
      <c r="D526" s="6">
        <v>34</v>
      </c>
      <c r="F526" s="28" t="s">
        <v>320</v>
      </c>
    </row>
    <row r="527" spans="1:6" ht="34" x14ac:dyDescent="0.2">
      <c r="A527" s="8">
        <v>45551</v>
      </c>
      <c r="C527" s="2" t="s">
        <v>3</v>
      </c>
      <c r="D527" s="6">
        <v>175</v>
      </c>
      <c r="F527" s="28" t="s">
        <v>317</v>
      </c>
    </row>
    <row r="528" spans="1:6" ht="17" x14ac:dyDescent="0.2">
      <c r="A528" s="8">
        <v>45552</v>
      </c>
      <c r="C528" s="2" t="s">
        <v>3</v>
      </c>
      <c r="D528" s="6">
        <v>90</v>
      </c>
      <c r="F528" s="28" t="s">
        <v>319</v>
      </c>
    </row>
    <row r="529" spans="1:7" ht="17" x14ac:dyDescent="0.2">
      <c r="A529" s="8">
        <v>45553</v>
      </c>
      <c r="C529" s="2" t="s">
        <v>3</v>
      </c>
      <c r="D529" s="6">
        <v>140</v>
      </c>
      <c r="F529" s="28" t="s">
        <v>321</v>
      </c>
    </row>
    <row r="530" spans="1:7" ht="17" x14ac:dyDescent="0.2">
      <c r="A530" s="8">
        <v>45554</v>
      </c>
      <c r="C530" s="2" t="s">
        <v>3</v>
      </c>
      <c r="D530" s="6">
        <v>100</v>
      </c>
      <c r="F530" s="28" t="s">
        <v>322</v>
      </c>
    </row>
    <row r="531" spans="1:7" ht="17" x14ac:dyDescent="0.2">
      <c r="A531" s="8">
        <v>45554</v>
      </c>
      <c r="C531" s="2" t="s">
        <v>3</v>
      </c>
      <c r="D531" s="6">
        <v>95</v>
      </c>
      <c r="F531" s="28" t="s">
        <v>323</v>
      </c>
      <c r="G531" s="2" t="s">
        <v>329</v>
      </c>
    </row>
    <row r="532" spans="1:7" ht="17" x14ac:dyDescent="0.2">
      <c r="A532" s="8">
        <v>45555</v>
      </c>
      <c r="C532" s="2" t="s">
        <v>3</v>
      </c>
      <c r="D532" s="6">
        <v>135</v>
      </c>
      <c r="F532" s="28" t="s">
        <v>324</v>
      </c>
    </row>
    <row r="533" spans="1:7" ht="17" x14ac:dyDescent="0.2">
      <c r="A533" s="8">
        <v>45555</v>
      </c>
      <c r="C533" s="2" t="s">
        <v>3</v>
      </c>
      <c r="D533" s="6">
        <v>75</v>
      </c>
      <c r="F533" s="28" t="s">
        <v>325</v>
      </c>
    </row>
    <row r="534" spans="1:7" ht="17" x14ac:dyDescent="0.2">
      <c r="A534" s="8">
        <v>45555</v>
      </c>
      <c r="C534" s="2" t="s">
        <v>3</v>
      </c>
      <c r="D534" s="6">
        <v>250</v>
      </c>
      <c r="F534" s="28" t="s">
        <v>326</v>
      </c>
    </row>
    <row r="535" spans="1:7" ht="17" x14ac:dyDescent="0.2">
      <c r="A535" s="8">
        <v>45555</v>
      </c>
      <c r="C535" s="2" t="s">
        <v>3</v>
      </c>
      <c r="D535" s="6">
        <v>120</v>
      </c>
      <c r="F535" s="28" t="s">
        <v>327</v>
      </c>
    </row>
    <row r="536" spans="1:7" ht="17" x14ac:dyDescent="0.2">
      <c r="A536" s="8">
        <v>45555</v>
      </c>
      <c r="C536" s="2" t="s">
        <v>3</v>
      </c>
      <c r="D536" s="6">
        <v>175</v>
      </c>
      <c r="F536" s="28" t="s">
        <v>51</v>
      </c>
    </row>
    <row r="537" spans="1:7" ht="17" x14ac:dyDescent="0.2">
      <c r="A537" s="8">
        <v>45556</v>
      </c>
      <c r="C537" s="2" t="s">
        <v>3</v>
      </c>
      <c r="D537" s="6">
        <v>110</v>
      </c>
      <c r="F537" s="28" t="s">
        <v>333</v>
      </c>
    </row>
    <row r="538" spans="1:7" ht="34" x14ac:dyDescent="0.2">
      <c r="A538" s="8">
        <v>45556</v>
      </c>
      <c r="C538" s="2" t="s">
        <v>3</v>
      </c>
      <c r="D538" s="6">
        <v>200</v>
      </c>
      <c r="F538" s="28" t="s">
        <v>334</v>
      </c>
    </row>
    <row r="539" spans="1:7" ht="17" x14ac:dyDescent="0.2">
      <c r="A539" s="8">
        <v>45557</v>
      </c>
      <c r="C539" s="2" t="s">
        <v>3</v>
      </c>
      <c r="D539" s="6">
        <v>90</v>
      </c>
      <c r="F539" s="28" t="s">
        <v>335</v>
      </c>
    </row>
    <row r="540" spans="1:7" ht="17" x14ac:dyDescent="0.2">
      <c r="A540" s="8">
        <v>45557</v>
      </c>
      <c r="C540" s="2" t="s">
        <v>3</v>
      </c>
      <c r="D540" s="6">
        <v>165</v>
      </c>
      <c r="F540" s="28" t="s">
        <v>336</v>
      </c>
    </row>
    <row r="541" spans="1:7" ht="17" x14ac:dyDescent="0.2">
      <c r="A541" s="8">
        <v>45558</v>
      </c>
      <c r="C541" s="2" t="s">
        <v>3</v>
      </c>
      <c r="D541" s="6">
        <v>100</v>
      </c>
      <c r="F541" s="28" t="s">
        <v>338</v>
      </c>
    </row>
    <row r="542" spans="1:7" ht="17" x14ac:dyDescent="0.2">
      <c r="A542" s="8">
        <v>45558</v>
      </c>
      <c r="C542" s="2" t="s">
        <v>3</v>
      </c>
      <c r="D542" s="6">
        <v>160</v>
      </c>
      <c r="F542" s="28" t="s">
        <v>26</v>
      </c>
    </row>
    <row r="543" spans="1:7" ht="17" x14ac:dyDescent="0.2">
      <c r="A543" s="8">
        <v>45559</v>
      </c>
      <c r="C543" s="2" t="s">
        <v>3</v>
      </c>
      <c r="D543" s="6">
        <v>50</v>
      </c>
      <c r="F543" s="28" t="s">
        <v>339</v>
      </c>
    </row>
    <row r="544" spans="1:7" ht="17" x14ac:dyDescent="0.2">
      <c r="A544" s="8">
        <v>45561</v>
      </c>
      <c r="C544" s="2" t="s">
        <v>3</v>
      </c>
      <c r="D544" s="6">
        <v>50</v>
      </c>
      <c r="F544" s="28" t="s">
        <v>341</v>
      </c>
    </row>
    <row r="545" spans="1:6" ht="17" x14ac:dyDescent="0.2">
      <c r="A545" s="8">
        <v>45561</v>
      </c>
      <c r="C545" s="2" t="s">
        <v>3</v>
      </c>
      <c r="D545" s="6">
        <v>150</v>
      </c>
      <c r="F545" s="28" t="s">
        <v>342</v>
      </c>
    </row>
    <row r="546" spans="1:6" ht="17" x14ac:dyDescent="0.2">
      <c r="A546" s="8">
        <v>45562</v>
      </c>
      <c r="C546" s="2" t="s">
        <v>3</v>
      </c>
      <c r="D546" s="6">
        <v>22</v>
      </c>
      <c r="F546" s="28" t="s">
        <v>199</v>
      </c>
    </row>
    <row r="547" spans="1:6" ht="17" x14ac:dyDescent="0.2">
      <c r="A547" s="8">
        <v>45562</v>
      </c>
      <c r="C547" s="2" t="s">
        <v>3</v>
      </c>
      <c r="D547" s="6">
        <v>140</v>
      </c>
      <c r="F547" s="28" t="s">
        <v>343</v>
      </c>
    </row>
    <row r="548" spans="1:6" ht="17" x14ac:dyDescent="0.2">
      <c r="A548" s="8">
        <v>45562</v>
      </c>
      <c r="C548" s="2" t="s">
        <v>3</v>
      </c>
      <c r="D548" s="6">
        <v>70</v>
      </c>
      <c r="F548" s="28" t="s">
        <v>344</v>
      </c>
    </row>
    <row r="549" spans="1:6" ht="17" x14ac:dyDescent="0.2">
      <c r="A549" s="8">
        <v>45562</v>
      </c>
      <c r="C549" s="2" t="s">
        <v>3</v>
      </c>
      <c r="D549" s="6">
        <v>120</v>
      </c>
      <c r="F549" s="28" t="s">
        <v>345</v>
      </c>
    </row>
    <row r="550" spans="1:6" ht="34" x14ac:dyDescent="0.2">
      <c r="A550" s="8">
        <v>45562</v>
      </c>
      <c r="C550" s="2" t="s">
        <v>3</v>
      </c>
      <c r="D550" s="6">
        <v>190</v>
      </c>
      <c r="F550" s="28" t="s">
        <v>346</v>
      </c>
    </row>
    <row r="551" spans="1:6" ht="17" x14ac:dyDescent="0.2">
      <c r="A551" s="8">
        <v>45563</v>
      </c>
      <c r="C551" s="2" t="s">
        <v>3</v>
      </c>
      <c r="D551" s="6">
        <v>80</v>
      </c>
      <c r="F551" s="28" t="s">
        <v>347</v>
      </c>
    </row>
    <row r="552" spans="1:6" ht="17" x14ac:dyDescent="0.2">
      <c r="A552" s="8">
        <v>45563</v>
      </c>
      <c r="C552" s="2" t="s">
        <v>3</v>
      </c>
      <c r="D552" s="6">
        <v>80</v>
      </c>
      <c r="F552" s="28" t="s">
        <v>205</v>
      </c>
    </row>
    <row r="553" spans="1:6" ht="17" x14ac:dyDescent="0.2">
      <c r="A553" s="8">
        <v>45566</v>
      </c>
      <c r="C553" s="2" t="s">
        <v>3</v>
      </c>
      <c r="D553" s="6">
        <v>80</v>
      </c>
      <c r="F553" s="28" t="s">
        <v>353</v>
      </c>
    </row>
    <row r="554" spans="1:6" ht="17" x14ac:dyDescent="0.2">
      <c r="A554" s="8">
        <v>45566</v>
      </c>
      <c r="C554" s="2" t="s">
        <v>3</v>
      </c>
      <c r="D554" s="6">
        <v>80</v>
      </c>
      <c r="F554" s="28" t="s">
        <v>205</v>
      </c>
    </row>
    <row r="555" spans="1:6" ht="17" x14ac:dyDescent="0.2">
      <c r="A555" s="8">
        <v>45568</v>
      </c>
      <c r="C555" s="2" t="s">
        <v>3</v>
      </c>
      <c r="D555" s="6">
        <v>100</v>
      </c>
      <c r="F555" s="28" t="s">
        <v>26</v>
      </c>
    </row>
    <row r="556" spans="1:6" ht="17" x14ac:dyDescent="0.2">
      <c r="A556" s="8">
        <v>45571</v>
      </c>
      <c r="C556" s="2" t="s">
        <v>3</v>
      </c>
      <c r="D556" s="6">
        <v>385</v>
      </c>
      <c r="F556" s="28" t="s">
        <v>356</v>
      </c>
    </row>
    <row r="557" spans="1:6" ht="17" x14ac:dyDescent="0.2">
      <c r="A557" s="8">
        <v>45572</v>
      </c>
      <c r="C557" s="2" t="s">
        <v>3</v>
      </c>
      <c r="D557" s="6">
        <v>155</v>
      </c>
      <c r="F557" s="28" t="s">
        <v>26</v>
      </c>
    </row>
    <row r="558" spans="1:6" ht="17" x14ac:dyDescent="0.2">
      <c r="A558" s="8">
        <v>45573</v>
      </c>
      <c r="C558" s="2" t="s">
        <v>3</v>
      </c>
      <c r="D558" s="6">
        <v>100</v>
      </c>
      <c r="F558" s="28" t="s">
        <v>357</v>
      </c>
    </row>
    <row r="559" spans="1:6" ht="17" x14ac:dyDescent="0.2">
      <c r="A559" s="8">
        <v>45573</v>
      </c>
      <c r="C559" s="2" t="s">
        <v>3</v>
      </c>
      <c r="D559" s="6">
        <v>105</v>
      </c>
      <c r="F559" s="28" t="s">
        <v>358</v>
      </c>
    </row>
    <row r="560" spans="1:6" ht="17" x14ac:dyDescent="0.2">
      <c r="A560" s="8">
        <v>45573</v>
      </c>
      <c r="C560" s="2" t="s">
        <v>3</v>
      </c>
      <c r="D560" s="6">
        <v>145</v>
      </c>
      <c r="F560" s="28" t="s">
        <v>333</v>
      </c>
    </row>
    <row r="561" spans="1:6" ht="17" x14ac:dyDescent="0.2">
      <c r="A561" s="8">
        <v>45573</v>
      </c>
      <c r="C561" s="2" t="s">
        <v>3</v>
      </c>
      <c r="D561" s="6">
        <v>125</v>
      </c>
      <c r="F561" s="28" t="s">
        <v>38</v>
      </c>
    </row>
    <row r="562" spans="1:6" ht="17" x14ac:dyDescent="0.2">
      <c r="A562" s="8">
        <v>45579</v>
      </c>
      <c r="C562" s="2" t="s">
        <v>3</v>
      </c>
      <c r="D562" s="6">
        <v>80</v>
      </c>
      <c r="F562" s="28" t="s">
        <v>205</v>
      </c>
    </row>
    <row r="563" spans="1:6" ht="17" x14ac:dyDescent="0.2">
      <c r="A563" s="8">
        <v>45579</v>
      </c>
      <c r="C563" s="2" t="s">
        <v>3</v>
      </c>
      <c r="D563" s="6">
        <v>95</v>
      </c>
      <c r="F563" s="28" t="s">
        <v>361</v>
      </c>
    </row>
    <row r="564" spans="1:6" ht="34" x14ac:dyDescent="0.2">
      <c r="A564" s="8">
        <v>45579</v>
      </c>
      <c r="C564" s="2" t="s">
        <v>3</v>
      </c>
      <c r="D564" s="6">
        <v>600</v>
      </c>
      <c r="F564" s="28" t="s">
        <v>362</v>
      </c>
    </row>
    <row r="565" spans="1:6" ht="17" x14ac:dyDescent="0.2">
      <c r="A565" s="8">
        <v>45580</v>
      </c>
      <c r="C565" s="2" t="s">
        <v>3</v>
      </c>
      <c r="D565" s="6">
        <v>34</v>
      </c>
      <c r="F565" s="28" t="s">
        <v>415</v>
      </c>
    </row>
    <row r="566" spans="1:6" ht="17" x14ac:dyDescent="0.2">
      <c r="A566" s="8">
        <v>45580</v>
      </c>
      <c r="C566" s="2" t="s">
        <v>3</v>
      </c>
      <c r="D566" s="6">
        <v>185</v>
      </c>
      <c r="F566" s="28" t="s">
        <v>363</v>
      </c>
    </row>
    <row r="567" spans="1:6" ht="17" x14ac:dyDescent="0.2">
      <c r="A567" s="8">
        <v>45581</v>
      </c>
      <c r="C567" s="2" t="s">
        <v>3</v>
      </c>
      <c r="D567" s="6">
        <v>160</v>
      </c>
      <c r="F567" s="28" t="s">
        <v>333</v>
      </c>
    </row>
    <row r="568" spans="1:6" ht="17" x14ac:dyDescent="0.2">
      <c r="A568" s="8">
        <v>45581</v>
      </c>
      <c r="C568" s="2" t="s">
        <v>3</v>
      </c>
      <c r="D568" s="6">
        <v>160</v>
      </c>
      <c r="F568" s="28" t="s">
        <v>364</v>
      </c>
    </row>
    <row r="569" spans="1:6" ht="17" x14ac:dyDescent="0.2">
      <c r="A569" s="8">
        <v>45585</v>
      </c>
      <c r="C569" s="2" t="s">
        <v>3</v>
      </c>
      <c r="D569" s="6">
        <v>90</v>
      </c>
      <c r="F569" s="28" t="s">
        <v>367</v>
      </c>
    </row>
    <row r="570" spans="1:6" ht="17" x14ac:dyDescent="0.2">
      <c r="A570" s="8">
        <v>45585</v>
      </c>
      <c r="C570" s="2" t="s">
        <v>3</v>
      </c>
      <c r="D570" s="6">
        <v>120</v>
      </c>
      <c r="F570" s="28" t="s">
        <v>343</v>
      </c>
    </row>
    <row r="571" spans="1:6" ht="17" x14ac:dyDescent="0.2">
      <c r="A571" s="8">
        <v>45586</v>
      </c>
      <c r="C571" s="2" t="s">
        <v>3</v>
      </c>
      <c r="D571" s="6">
        <v>265</v>
      </c>
      <c r="F571" s="28" t="s">
        <v>350</v>
      </c>
    </row>
    <row r="572" spans="1:6" ht="17" x14ac:dyDescent="0.2">
      <c r="A572" s="8">
        <v>45586</v>
      </c>
      <c r="C572" s="2" t="s">
        <v>3</v>
      </c>
      <c r="D572" s="6">
        <v>40</v>
      </c>
      <c r="F572" s="28" t="s">
        <v>352</v>
      </c>
    </row>
    <row r="573" spans="1:6" ht="17" x14ac:dyDescent="0.2">
      <c r="A573" s="8">
        <v>45586</v>
      </c>
      <c r="C573" s="2" t="s">
        <v>3</v>
      </c>
      <c r="D573" s="6">
        <v>165</v>
      </c>
      <c r="F573" s="28" t="s">
        <v>368</v>
      </c>
    </row>
    <row r="574" spans="1:6" ht="17" x14ac:dyDescent="0.2">
      <c r="A574" s="8">
        <v>45587</v>
      </c>
      <c r="C574" s="2" t="s">
        <v>3</v>
      </c>
      <c r="D574" s="6">
        <v>80</v>
      </c>
      <c r="F574" s="28" t="s">
        <v>205</v>
      </c>
    </row>
    <row r="575" spans="1:6" ht="17" x14ac:dyDescent="0.2">
      <c r="A575" s="8">
        <v>45588</v>
      </c>
      <c r="C575" s="2" t="s">
        <v>3</v>
      </c>
      <c r="D575" s="6">
        <v>70</v>
      </c>
      <c r="F575" s="28" t="s">
        <v>224</v>
      </c>
    </row>
    <row r="576" spans="1:6" ht="17" x14ac:dyDescent="0.2">
      <c r="A576" s="8">
        <v>45598</v>
      </c>
      <c r="C576" s="2" t="s">
        <v>3</v>
      </c>
      <c r="D576" s="6">
        <v>145</v>
      </c>
      <c r="F576" s="28" t="s">
        <v>406</v>
      </c>
    </row>
    <row r="577" spans="1:6" ht="17" x14ac:dyDescent="0.2">
      <c r="A577" s="8">
        <v>45600</v>
      </c>
      <c r="C577" s="2" t="s">
        <v>3</v>
      </c>
      <c r="D577" s="6">
        <v>140</v>
      </c>
      <c r="F577" s="28" t="s">
        <v>333</v>
      </c>
    </row>
    <row r="578" spans="1:6" ht="17" x14ac:dyDescent="0.2">
      <c r="A578" s="8">
        <v>45601</v>
      </c>
      <c r="C578" s="2" t="s">
        <v>3</v>
      </c>
      <c r="D578" s="6">
        <v>150</v>
      </c>
      <c r="F578" s="28" t="s">
        <v>404</v>
      </c>
    </row>
    <row r="579" spans="1:6" ht="17" x14ac:dyDescent="0.2">
      <c r="A579" s="8">
        <v>45602</v>
      </c>
      <c r="C579" s="2" t="s">
        <v>3</v>
      </c>
      <c r="D579" s="6">
        <v>60</v>
      </c>
      <c r="F579" s="28" t="s">
        <v>401</v>
      </c>
    </row>
    <row r="580" spans="1:6" ht="17" x14ac:dyDescent="0.2">
      <c r="A580" s="8">
        <v>45602</v>
      </c>
      <c r="C580" s="2" t="s">
        <v>3</v>
      </c>
      <c r="D580" s="6">
        <v>60</v>
      </c>
      <c r="F580" s="28" t="s">
        <v>402</v>
      </c>
    </row>
    <row r="581" spans="1:6" ht="17" x14ac:dyDescent="0.2">
      <c r="A581" s="8">
        <v>45604</v>
      </c>
      <c r="C581" s="2" t="s">
        <v>3</v>
      </c>
      <c r="D581" s="6">
        <v>150</v>
      </c>
      <c r="F581" s="28" t="s">
        <v>400</v>
      </c>
    </row>
    <row r="582" spans="1:6" ht="17" x14ac:dyDescent="0.2">
      <c r="A582" s="8">
        <v>45604</v>
      </c>
      <c r="C582" s="2" t="s">
        <v>3</v>
      </c>
      <c r="D582" s="6">
        <v>80</v>
      </c>
      <c r="F582" s="28" t="s">
        <v>399</v>
      </c>
    </row>
    <row r="583" spans="1:6" ht="17" x14ac:dyDescent="0.2">
      <c r="A583" s="8">
        <v>45606</v>
      </c>
      <c r="C583" s="2" t="s">
        <v>3</v>
      </c>
      <c r="D583" s="6">
        <v>45</v>
      </c>
      <c r="F583" s="28" t="s">
        <v>398</v>
      </c>
    </row>
    <row r="584" spans="1:6" ht="17" x14ac:dyDescent="0.2">
      <c r="A584" s="8">
        <v>45607</v>
      </c>
      <c r="C584" s="2" t="s">
        <v>3</v>
      </c>
      <c r="D584" s="6">
        <v>60</v>
      </c>
      <c r="F584" s="28" t="s">
        <v>261</v>
      </c>
    </row>
    <row r="585" spans="1:6" ht="17" x14ac:dyDescent="0.2">
      <c r="A585" s="8">
        <v>45607</v>
      </c>
      <c r="C585" s="2" t="s">
        <v>3</v>
      </c>
      <c r="D585" s="6">
        <v>120</v>
      </c>
      <c r="F585" s="28" t="s">
        <v>396</v>
      </c>
    </row>
    <row r="586" spans="1:6" ht="17" x14ac:dyDescent="0.2">
      <c r="A586" s="8">
        <v>45607</v>
      </c>
      <c r="C586" s="2" t="s">
        <v>3</v>
      </c>
      <c r="D586" s="6">
        <v>80</v>
      </c>
      <c r="F586" s="28" t="s">
        <v>397</v>
      </c>
    </row>
    <row r="587" spans="1:6" ht="34" x14ac:dyDescent="0.2">
      <c r="A587" s="8">
        <v>45609</v>
      </c>
      <c r="C587" s="2" t="s">
        <v>3</v>
      </c>
      <c r="D587" s="6">
        <v>190</v>
      </c>
      <c r="F587" s="28" t="s">
        <v>395</v>
      </c>
    </row>
    <row r="588" spans="1:6" ht="17" x14ac:dyDescent="0.2">
      <c r="A588" s="8">
        <v>45610</v>
      </c>
      <c r="C588" s="2" t="s">
        <v>3</v>
      </c>
      <c r="D588" s="6">
        <v>155</v>
      </c>
      <c r="F588" s="28" t="s">
        <v>333</v>
      </c>
    </row>
    <row r="589" spans="1:6" ht="17" x14ac:dyDescent="0.2">
      <c r="A589" s="8">
        <v>45611</v>
      </c>
      <c r="C589" s="2" t="s">
        <v>3</v>
      </c>
      <c r="D589" s="6">
        <v>34</v>
      </c>
      <c r="F589" s="28" t="s">
        <v>416</v>
      </c>
    </row>
    <row r="590" spans="1:6" ht="17" x14ac:dyDescent="0.2">
      <c r="A590" s="8">
        <v>45613</v>
      </c>
      <c r="C590" s="2" t="s">
        <v>3</v>
      </c>
      <c r="D590" s="6">
        <v>120</v>
      </c>
      <c r="F590" s="28" t="s">
        <v>38</v>
      </c>
    </row>
    <row r="591" spans="1:6" ht="17" x14ac:dyDescent="0.2">
      <c r="A591" s="8">
        <v>45614</v>
      </c>
      <c r="C591" s="2" t="s">
        <v>3</v>
      </c>
      <c r="D591" s="6">
        <v>70</v>
      </c>
      <c r="F591" s="28" t="s">
        <v>205</v>
      </c>
    </row>
    <row r="592" spans="1:6" ht="17" x14ac:dyDescent="0.2">
      <c r="A592" s="8">
        <v>45614</v>
      </c>
      <c r="C592" s="2" t="s">
        <v>3</v>
      </c>
      <c r="D592" s="6">
        <v>150</v>
      </c>
      <c r="F592" s="28" t="s">
        <v>390</v>
      </c>
    </row>
    <row r="593" spans="1:6" ht="17" x14ac:dyDescent="0.2">
      <c r="A593" s="8">
        <v>45614</v>
      </c>
      <c r="C593" s="2" t="s">
        <v>3</v>
      </c>
      <c r="D593" s="6">
        <v>190</v>
      </c>
      <c r="F593" s="28" t="s">
        <v>391</v>
      </c>
    </row>
    <row r="594" spans="1:6" ht="17" x14ac:dyDescent="0.2">
      <c r="A594" s="8">
        <v>45615</v>
      </c>
      <c r="C594" s="2" t="s">
        <v>3</v>
      </c>
      <c r="D594" s="6">
        <v>70</v>
      </c>
      <c r="F594" s="28" t="s">
        <v>389</v>
      </c>
    </row>
    <row r="595" spans="1:6" ht="17" x14ac:dyDescent="0.2">
      <c r="A595" s="8">
        <v>45617</v>
      </c>
      <c r="C595" s="2" t="s">
        <v>3</v>
      </c>
      <c r="D595" s="6">
        <v>190</v>
      </c>
      <c r="F595" s="28" t="s">
        <v>387</v>
      </c>
    </row>
    <row r="596" spans="1:6" ht="17" x14ac:dyDescent="0.2">
      <c r="A596" s="8">
        <v>45618</v>
      </c>
      <c r="C596" s="2" t="s">
        <v>3</v>
      </c>
      <c r="D596" s="6">
        <v>300</v>
      </c>
      <c r="F596" s="28" t="s">
        <v>388</v>
      </c>
    </row>
    <row r="597" spans="1:6" ht="17" x14ac:dyDescent="0.2">
      <c r="A597" s="8">
        <v>45621</v>
      </c>
      <c r="C597" s="2" t="s">
        <v>3</v>
      </c>
      <c r="D597" s="6">
        <v>65</v>
      </c>
      <c r="F597" s="28" t="s">
        <v>383</v>
      </c>
    </row>
    <row r="598" spans="1:6" ht="17" x14ac:dyDescent="0.2">
      <c r="A598" s="8">
        <v>45621</v>
      </c>
      <c r="C598" s="2" t="s">
        <v>3</v>
      </c>
      <c r="D598" s="6">
        <v>80</v>
      </c>
      <c r="F598" s="28" t="s">
        <v>392</v>
      </c>
    </row>
    <row r="599" spans="1:6" ht="17" x14ac:dyDescent="0.2">
      <c r="A599" s="8">
        <v>45622</v>
      </c>
      <c r="C599" s="2" t="s">
        <v>3</v>
      </c>
      <c r="D599" s="6">
        <v>150</v>
      </c>
      <c r="F599" s="28" t="s">
        <v>382</v>
      </c>
    </row>
    <row r="600" spans="1:6" ht="17" x14ac:dyDescent="0.2">
      <c r="A600" s="8">
        <v>45623</v>
      </c>
      <c r="C600" s="2" t="s">
        <v>3</v>
      </c>
      <c r="D600" s="6">
        <v>260</v>
      </c>
      <c r="F600" s="28" t="s">
        <v>379</v>
      </c>
    </row>
    <row r="601" spans="1:6" ht="34" x14ac:dyDescent="0.2">
      <c r="A601" s="8">
        <v>45624</v>
      </c>
      <c r="C601" s="2" t="s">
        <v>3</v>
      </c>
      <c r="D601" s="6">
        <v>245</v>
      </c>
      <c r="F601" s="28" t="s">
        <v>375</v>
      </c>
    </row>
    <row r="602" spans="1:6" ht="17" x14ac:dyDescent="0.2">
      <c r="A602" s="8">
        <v>45624</v>
      </c>
      <c r="C602" s="2" t="s">
        <v>3</v>
      </c>
      <c r="D602" s="6">
        <v>65</v>
      </c>
      <c r="F602" s="28" t="s">
        <v>376</v>
      </c>
    </row>
    <row r="603" spans="1:6" ht="17" x14ac:dyDescent="0.2">
      <c r="A603" s="8">
        <v>45624</v>
      </c>
      <c r="C603" s="2" t="s">
        <v>3</v>
      </c>
      <c r="D603" s="6">
        <v>90</v>
      </c>
      <c r="F603" s="28" t="s">
        <v>377</v>
      </c>
    </row>
    <row r="604" spans="1:6" ht="17" x14ac:dyDescent="0.2">
      <c r="A604" s="8">
        <v>45624</v>
      </c>
      <c r="C604" s="2" t="s">
        <v>3</v>
      </c>
      <c r="D604" s="6">
        <v>60</v>
      </c>
      <c r="F604" s="28" t="s">
        <v>378</v>
      </c>
    </row>
    <row r="605" spans="1:6" ht="17" x14ac:dyDescent="0.2">
      <c r="A605" s="8">
        <v>45625</v>
      </c>
      <c r="C605" s="2" t="s">
        <v>3</v>
      </c>
      <c r="D605" s="6">
        <v>140</v>
      </c>
      <c r="F605" s="28" t="s">
        <v>70</v>
      </c>
    </row>
    <row r="606" spans="1:6" ht="17" x14ac:dyDescent="0.2">
      <c r="A606" s="8">
        <v>45626</v>
      </c>
      <c r="C606" s="2" t="s">
        <v>3</v>
      </c>
      <c r="D606" s="6">
        <v>140</v>
      </c>
      <c r="F606" s="28" t="s">
        <v>371</v>
      </c>
    </row>
    <row r="607" spans="1:6" ht="17" x14ac:dyDescent="0.2">
      <c r="A607" s="8">
        <v>45626</v>
      </c>
      <c r="C607" s="2" t="s">
        <v>3</v>
      </c>
      <c r="D607" s="6">
        <v>761</v>
      </c>
      <c r="F607" s="28" t="s">
        <v>372</v>
      </c>
    </row>
    <row r="608" spans="1:6" ht="17" x14ac:dyDescent="0.2">
      <c r="A608" s="8">
        <v>45626</v>
      </c>
      <c r="C608" s="2" t="s">
        <v>3</v>
      </c>
      <c r="D608" s="6">
        <v>95</v>
      </c>
      <c r="F608" s="28" t="s">
        <v>360</v>
      </c>
    </row>
    <row r="609" spans="1:6" ht="17" x14ac:dyDescent="0.2">
      <c r="A609" s="8">
        <v>45626</v>
      </c>
      <c r="C609" s="2" t="s">
        <v>3</v>
      </c>
      <c r="D609" s="6">
        <v>150</v>
      </c>
      <c r="F609" s="28" t="s">
        <v>373</v>
      </c>
    </row>
    <row r="610" spans="1:6" ht="17" x14ac:dyDescent="0.2">
      <c r="A610" s="8">
        <v>45627</v>
      </c>
      <c r="C610" s="2" t="s">
        <v>3</v>
      </c>
      <c r="D610" s="6">
        <v>-2000</v>
      </c>
      <c r="F610" s="28" t="s">
        <v>407</v>
      </c>
    </row>
    <row r="611" spans="1:6" ht="17" x14ac:dyDescent="0.2">
      <c r="A611" s="8">
        <v>45627</v>
      </c>
      <c r="C611" s="2" t="s">
        <v>3</v>
      </c>
      <c r="D611" s="6">
        <v>510</v>
      </c>
      <c r="F611" s="28" t="s">
        <v>408</v>
      </c>
    </row>
    <row r="612" spans="1:6" ht="17" x14ac:dyDescent="0.2">
      <c r="A612" s="8">
        <v>45632</v>
      </c>
      <c r="C612" s="2" t="s">
        <v>3</v>
      </c>
      <c r="D612" s="6">
        <v>19</v>
      </c>
      <c r="F612" s="28" t="s">
        <v>409</v>
      </c>
    </row>
    <row r="613" spans="1:6" ht="17" x14ac:dyDescent="0.2">
      <c r="A613" s="8">
        <v>45641</v>
      </c>
      <c r="C613" s="2" t="s">
        <v>3</v>
      </c>
      <c r="D613" s="6">
        <v>34</v>
      </c>
      <c r="F613" s="28" t="s">
        <v>414</v>
      </c>
    </row>
    <row r="614" spans="1:6" ht="17" x14ac:dyDescent="0.2">
      <c r="A614" s="8">
        <v>45663</v>
      </c>
      <c r="C614" s="2" t="s">
        <v>3</v>
      </c>
      <c r="D614" s="6">
        <v>1700</v>
      </c>
      <c r="F614" s="28" t="s">
        <v>423</v>
      </c>
    </row>
    <row r="615" spans="1:6" ht="17" x14ac:dyDescent="0.2">
      <c r="A615" s="8">
        <v>45670</v>
      </c>
      <c r="C615" s="2" t="s">
        <v>3</v>
      </c>
      <c r="D615" s="6">
        <v>408</v>
      </c>
      <c r="E615" s="2" t="s">
        <v>429</v>
      </c>
      <c r="F615" s="28" t="s">
        <v>425</v>
      </c>
    </row>
  </sheetData>
  <autoFilter ref="A2:F2" xr:uid="{3BAC6B10-3AC3-9A45-80AE-79256F278F72}"/>
  <sortState xmlns:xlrd2="http://schemas.microsoft.com/office/spreadsheetml/2017/richdata2" ref="A417:F615">
    <sortCondition descending="1" sortBy="cellColor" ref="A417:A615" dxfId="23"/>
    <sortCondition ref="C417:C615"/>
    <sortCondition ref="A417:A615"/>
  </sortState>
  <mergeCells count="4">
    <mergeCell ref="G174:G176"/>
    <mergeCell ref="G171:G173"/>
    <mergeCell ref="H267:K267"/>
    <mergeCell ref="H279:K279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887BBCA3-831E-604F-BF5B-8B71E7299658}">
            <xm:f>($B4=Sheet2!$A$6)</xm:f>
            <x14:dxf>
              <fill>
                <patternFill>
                  <bgColor rgb="FF00B0F0"/>
                </patternFill>
              </fill>
            </x14:dxf>
          </x14:cfRule>
          <x14:cfRule type="expression" priority="15" id="{277DDF9F-0270-C740-9CC1-373196D8B90F}">
            <xm:f>($B4=Sheet2!$A$5)</xm:f>
            <x14:dxf>
              <fill>
                <patternFill>
                  <bgColor theme="4" tint="0.39994506668294322"/>
                </patternFill>
              </fill>
            </x14:dxf>
          </x14:cfRule>
          <x14:cfRule type="expression" priority="17" id="{7C11F125-6332-7C4A-AEFB-5863839AB22B}">
            <xm:f>($B4=Sheet2!$A$4)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18" id="{18EA0808-BB85-2645-864E-21DD14D04FED}">
            <xm:f>($B4=Sheet2!$A$3)</xm:f>
            <x14:dxf>
              <font>
                <b/>
                <i val="0"/>
              </font>
              <fill>
                <patternFill>
                  <bgColor theme="5" tint="0.39994506668294322"/>
                </patternFill>
              </fill>
            </x14:dxf>
          </x14:cfRule>
          <x14:cfRule type="expression" priority="19" id="{29396073-9BE3-E04C-9295-37A0741411C8}">
            <xm:f>($B4=Sheet2!$A$2)</xm:f>
            <x14:dxf>
              <fill>
                <patternFill>
                  <bgColor theme="9" tint="0.39994506668294322"/>
                </patternFill>
              </fill>
            </x14:dxf>
          </x14:cfRule>
          <xm:sqref>A4:F167 A168:C169 E168:F169 A170:F218 C219:F221 A219:A222 B219:B224 C222 E222:E234 B225:D228 F225:F231 A229:D231 A232:F377 C378:F412 A378:B420 C413:E418 D418:D421 C419:F420 A421:F532 A533:C533 E533:F533 A534:F536 A537:C537 E537:F537 A538:F1048576</xm:sqref>
        </x14:conditionalFormatting>
        <x14:conditionalFormatting xmlns:xm="http://schemas.microsoft.com/office/excel/2006/main">
          <x14:cfRule type="expression" priority="27" id="{277DDF9F-0270-C740-9CC1-373196D8B90F}">
            <xm:f>($B168=Sheet2!$A$5)</xm:f>
            <x14:dxf>
              <fill>
                <patternFill>
                  <bgColor theme="4" tint="0.39994506668294322"/>
                </patternFill>
              </fill>
            </x14:dxf>
          </x14:cfRule>
          <x14:cfRule type="expression" priority="28" id="{7C11F125-6332-7C4A-AEFB-5863839AB22B}">
            <xm:f>($B168=Sheet2!$A$4)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29" id="{18EA0808-BB85-2645-864E-21DD14D04FED}">
            <xm:f>($B168=Sheet2!$A$3)</xm:f>
            <x14:dxf>
              <font>
                <b/>
                <i val="0"/>
              </font>
              <fill>
                <patternFill>
                  <bgColor theme="5" tint="0.39994506668294322"/>
                </patternFill>
              </fill>
            </x14:dxf>
          </x14:cfRule>
          <x14:cfRule type="expression" priority="30" id="{29396073-9BE3-E04C-9295-37A0741411C8}">
            <xm:f>($B168=Sheet2!$A$2)</xm:f>
            <x14:dxf>
              <fill>
                <patternFill>
                  <bgColor theme="9" tint="0.39994506668294322"/>
                </patternFill>
              </fill>
            </x14:dxf>
          </x14:cfRule>
          <xm:sqref>D169</xm:sqref>
        </x14:conditionalFormatting>
        <x14:conditionalFormatting xmlns:xm="http://schemas.microsoft.com/office/excel/2006/main">
          <x14:cfRule type="expression" priority="36" id="{887BBCA3-831E-604F-BF5B-8B71E7299658}">
            <xm:f>($B409=Sheet2!$A$6)</xm:f>
            <x14:dxf>
              <fill>
                <patternFill>
                  <bgColor rgb="FF00B0F0"/>
                </patternFill>
              </fill>
            </x14:dxf>
          </x14:cfRule>
          <x14:cfRule type="expression" priority="37" id="{277DDF9F-0270-C740-9CC1-373196D8B90F}">
            <xm:f>($B409=Sheet2!$A$5)</xm:f>
            <x14:dxf>
              <fill>
                <patternFill>
                  <bgColor theme="4" tint="0.39994506668294322"/>
                </patternFill>
              </fill>
            </x14:dxf>
          </x14:cfRule>
          <x14:cfRule type="expression" priority="38" id="{7C11F125-6332-7C4A-AEFB-5863839AB22B}">
            <xm:f>($B409=Sheet2!$A$4)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39" id="{18EA0808-BB85-2645-864E-21DD14D04FED}">
            <xm:f>($B409=Sheet2!$A$3)</xm:f>
            <x14:dxf>
              <font>
                <b/>
                <i val="0"/>
              </font>
              <fill>
                <patternFill>
                  <bgColor theme="5" tint="0.39994506668294322"/>
                </patternFill>
              </fill>
            </x14:dxf>
          </x14:cfRule>
          <x14:cfRule type="expression" priority="40" id="{29396073-9BE3-E04C-9295-37A0741411C8}">
            <xm:f>($B409=Sheet2!$A$2)</xm:f>
            <x14:dxf>
              <fill>
                <patternFill>
                  <bgColor theme="9" tint="0.39994506668294322"/>
                </patternFill>
              </fill>
            </x14:dxf>
          </x14:cfRule>
          <xm:sqref>F413:F417 D537</xm:sqref>
        </x14:conditionalFormatting>
        <x14:conditionalFormatting xmlns:xm="http://schemas.microsoft.com/office/excel/2006/main">
          <x14:cfRule type="expression" priority="51" id="{887BBCA3-831E-604F-BF5B-8B71E7299658}">
            <xm:f>($B410=Sheet2!$A$6)</xm:f>
            <x14:dxf>
              <fill>
                <patternFill>
                  <bgColor rgb="FF00B0F0"/>
                </patternFill>
              </fill>
            </x14:dxf>
          </x14:cfRule>
          <x14:cfRule type="expression" priority="52" id="{277DDF9F-0270-C740-9CC1-373196D8B90F}">
            <xm:f>($B410=Sheet2!$A$5)</xm:f>
            <x14:dxf>
              <fill>
                <patternFill>
                  <bgColor theme="4" tint="0.39994506668294322"/>
                </patternFill>
              </fill>
            </x14:dxf>
          </x14:cfRule>
          <x14:cfRule type="expression" priority="53" id="{7C11F125-6332-7C4A-AEFB-5863839AB22B}">
            <xm:f>($B410=Sheet2!$A$4)</xm:f>
            <x14:dxf>
              <fill>
                <patternFill>
                  <bgColor theme="7" tint="0.59996337778862885"/>
                </patternFill>
              </fill>
            </x14:dxf>
          </x14:cfRule>
          <x14:cfRule type="expression" priority="54" id="{18EA0808-BB85-2645-864E-21DD14D04FED}">
            <xm:f>($B410=Sheet2!$A$3)</xm:f>
            <x14:dxf>
              <font>
                <b/>
                <i val="0"/>
              </font>
              <fill>
                <patternFill>
                  <bgColor theme="5" tint="0.39994506668294322"/>
                </patternFill>
              </fill>
            </x14:dxf>
          </x14:cfRule>
          <x14:cfRule type="expression" priority="55" id="{29396073-9BE3-E04C-9295-37A0741411C8}">
            <xm:f>($B410=Sheet2!$A$2)</xm:f>
            <x14:dxf>
              <fill>
                <patternFill>
                  <bgColor theme="9" tint="0.39994506668294322"/>
                </patternFill>
              </fill>
            </x14:dxf>
          </x14:cfRule>
          <xm:sqref>F418:F421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!!" error="Please Enter a Valid Input" xr:uid="{2A531E0F-C2D9-3C4E-9E90-8DCF1A440368}">
          <x14:formula1>
            <xm:f>Sheet2!$A$2:$A$8</xm:f>
          </x14:formula1>
          <xm:sqref>B4:B1048576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D9C3-6ABD-314A-8A10-7A7F6C3D125E}">
  <sheetPr filterMode="1"/>
  <dimension ref="C1:H1048574"/>
  <sheetViews>
    <sheetView showGridLines="0" tabSelected="1" topLeftCell="A3" zoomScale="125" workbookViewId="0">
      <pane ySplit="1" topLeftCell="A349" activePane="bottomLeft" state="frozen"/>
      <selection activeCell="A3" sqref="A3"/>
      <selection pane="bottomLeft" activeCell="D542" sqref="D542"/>
    </sheetView>
  </sheetViews>
  <sheetFormatPr baseColWidth="10" defaultRowHeight="20" customHeight="1" x14ac:dyDescent="0.2"/>
  <cols>
    <col min="1" max="2" width="1" style="45" customWidth="1"/>
    <col min="3" max="3" width="26.1640625" style="47" bestFit="1" customWidth="1"/>
    <col min="4" max="4" width="41" style="48" bestFit="1" customWidth="1"/>
    <col min="5" max="5" width="11.83203125" style="49" bestFit="1" customWidth="1"/>
    <col min="6" max="6" width="8.83203125" style="45" bestFit="1" customWidth="1"/>
    <col min="7" max="7" width="8.1640625" style="45" bestFit="1" customWidth="1"/>
    <col min="8" max="8" width="8.5" style="45" bestFit="1" customWidth="1"/>
    <col min="9" max="16384" width="10.83203125" style="45"/>
  </cols>
  <sheetData>
    <row r="1" spans="3:8" ht="3" customHeight="1" x14ac:dyDescent="0.2">
      <c r="C1" s="45"/>
      <c r="D1" s="45"/>
      <c r="E1" s="45"/>
    </row>
    <row r="2" spans="3:8" ht="3" customHeight="1" x14ac:dyDescent="0.2">
      <c r="C2" s="45"/>
      <c r="D2" s="45"/>
      <c r="E2" s="45"/>
    </row>
    <row r="3" spans="3:8" ht="20" customHeight="1" x14ac:dyDescent="0.2">
      <c r="C3" s="46" t="s">
        <v>4</v>
      </c>
      <c r="D3" s="46" t="s">
        <v>431</v>
      </c>
      <c r="E3" s="46" t="s">
        <v>434</v>
      </c>
      <c r="F3" s="46" t="s">
        <v>430</v>
      </c>
      <c r="G3" s="46" t="s">
        <v>21</v>
      </c>
      <c r="H3" s="46" t="s">
        <v>432</v>
      </c>
    </row>
    <row r="4" spans="3:8" ht="20" hidden="1" customHeight="1" x14ac:dyDescent="0.2">
      <c r="C4" s="47">
        <v>45667</v>
      </c>
      <c r="D4" s="48" t="s">
        <v>433</v>
      </c>
      <c r="E4" s="49">
        <v>1000</v>
      </c>
      <c r="F4" s="45" t="s">
        <v>421</v>
      </c>
      <c r="G4" s="45" t="s">
        <v>22</v>
      </c>
    </row>
    <row r="5" spans="3:8" ht="20" hidden="1" customHeight="1" x14ac:dyDescent="0.2">
      <c r="C5" s="47">
        <v>45667</v>
      </c>
      <c r="D5" s="48" t="s">
        <v>436</v>
      </c>
      <c r="E5" s="49">
        <v>1000</v>
      </c>
      <c r="F5" s="45" t="s">
        <v>221</v>
      </c>
      <c r="G5" s="45" t="s">
        <v>435</v>
      </c>
    </row>
    <row r="6" spans="3:8" ht="20" hidden="1" customHeight="1" x14ac:dyDescent="0.2">
      <c r="C6" s="47">
        <v>45670</v>
      </c>
      <c r="D6" s="48" t="s">
        <v>437</v>
      </c>
      <c r="E6" s="49">
        <f>675/3</f>
        <v>225</v>
      </c>
      <c r="F6" s="45" t="s">
        <v>3</v>
      </c>
    </row>
    <row r="7" spans="3:8" ht="20" hidden="1" customHeight="1" x14ac:dyDescent="0.2">
      <c r="C7" s="47">
        <v>45670</v>
      </c>
      <c r="D7" s="48" t="s">
        <v>437</v>
      </c>
      <c r="E7" s="49">
        <f>675/3</f>
        <v>225</v>
      </c>
      <c r="F7" s="45" t="s">
        <v>11</v>
      </c>
    </row>
    <row r="8" spans="3:8" ht="20" hidden="1" customHeight="1" x14ac:dyDescent="0.2">
      <c r="C8" s="47">
        <v>45670</v>
      </c>
      <c r="D8" s="48" t="s">
        <v>438</v>
      </c>
      <c r="E8" s="49">
        <f>295/3</f>
        <v>98.333333333333329</v>
      </c>
      <c r="F8" s="45" t="s">
        <v>3</v>
      </c>
    </row>
    <row r="9" spans="3:8" ht="20" hidden="1" customHeight="1" x14ac:dyDescent="0.2">
      <c r="C9" s="47">
        <v>45670</v>
      </c>
      <c r="D9" s="48" t="s">
        <v>438</v>
      </c>
      <c r="E9" s="49">
        <f>295/3</f>
        <v>98.333333333333329</v>
      </c>
      <c r="F9" s="45" t="s">
        <v>11</v>
      </c>
    </row>
    <row r="10" spans="3:8" ht="20" hidden="1" customHeight="1" x14ac:dyDescent="0.2">
      <c r="C10" s="47">
        <v>45670</v>
      </c>
      <c r="D10" s="48" t="s">
        <v>439</v>
      </c>
      <c r="E10" s="49">
        <f>43/3</f>
        <v>14.333333333333334</v>
      </c>
      <c r="F10" s="45" t="s">
        <v>3</v>
      </c>
    </row>
    <row r="11" spans="3:8" ht="20" hidden="1" customHeight="1" x14ac:dyDescent="0.2">
      <c r="C11" s="47">
        <v>45670</v>
      </c>
      <c r="D11" s="48" t="s">
        <v>439</v>
      </c>
      <c r="E11" s="49">
        <f>43/3</f>
        <v>14.333333333333334</v>
      </c>
      <c r="F11" s="45" t="s">
        <v>11</v>
      </c>
    </row>
    <row r="12" spans="3:8" ht="20" hidden="1" customHeight="1" x14ac:dyDescent="0.2">
      <c r="C12" s="47">
        <v>45671</v>
      </c>
      <c r="D12" s="48" t="s">
        <v>440</v>
      </c>
      <c r="E12" s="49">
        <f>225/3</f>
        <v>75</v>
      </c>
      <c r="F12" s="45" t="s">
        <v>3</v>
      </c>
    </row>
    <row r="13" spans="3:8" ht="20" hidden="1" customHeight="1" x14ac:dyDescent="0.2">
      <c r="C13" s="47">
        <v>45671</v>
      </c>
      <c r="D13" s="48" t="s">
        <v>440</v>
      </c>
      <c r="E13" s="49">
        <f>225/3</f>
        <v>75</v>
      </c>
      <c r="F13" s="45" t="s">
        <v>11</v>
      </c>
    </row>
    <row r="14" spans="3:8" ht="20" hidden="1" customHeight="1" x14ac:dyDescent="0.2">
      <c r="C14" s="47">
        <v>45671</v>
      </c>
      <c r="D14" s="48" t="s">
        <v>441</v>
      </c>
      <c r="E14" s="49">
        <f>80/3</f>
        <v>26.666666666666668</v>
      </c>
      <c r="F14" s="45" t="s">
        <v>3</v>
      </c>
    </row>
    <row r="15" spans="3:8" ht="20" hidden="1" customHeight="1" x14ac:dyDescent="0.2">
      <c r="C15" s="47">
        <v>45671</v>
      </c>
      <c r="D15" s="48" t="s">
        <v>441</v>
      </c>
      <c r="E15" s="49">
        <f>80/3</f>
        <v>26.666666666666668</v>
      </c>
      <c r="F15" s="45" t="s">
        <v>11</v>
      </c>
    </row>
    <row r="16" spans="3:8" ht="20" hidden="1" customHeight="1" x14ac:dyDescent="0.2">
      <c r="C16" s="47">
        <v>45671</v>
      </c>
      <c r="D16" s="48" t="s">
        <v>442</v>
      </c>
      <c r="E16" s="49">
        <f>540/3</f>
        <v>180</v>
      </c>
      <c r="F16" s="45" t="s">
        <v>3</v>
      </c>
    </row>
    <row r="17" spans="3:6" ht="20" hidden="1" customHeight="1" x14ac:dyDescent="0.2">
      <c r="C17" s="47">
        <v>45671</v>
      </c>
      <c r="D17" s="48" t="s">
        <v>442</v>
      </c>
      <c r="E17" s="49">
        <f>540/3</f>
        <v>180</v>
      </c>
      <c r="F17" s="45" t="s">
        <v>11</v>
      </c>
    </row>
    <row r="18" spans="3:6" ht="20" hidden="1" customHeight="1" x14ac:dyDescent="0.2">
      <c r="C18" s="47">
        <v>45671</v>
      </c>
      <c r="D18" s="48" t="s">
        <v>443</v>
      </c>
      <c r="E18" s="49">
        <f>2560/3</f>
        <v>853.33333333333337</v>
      </c>
      <c r="F18" s="45" t="s">
        <v>3</v>
      </c>
    </row>
    <row r="19" spans="3:6" ht="20" hidden="1" customHeight="1" x14ac:dyDescent="0.2">
      <c r="C19" s="47">
        <v>45671</v>
      </c>
      <c r="D19" s="48" t="s">
        <v>443</v>
      </c>
      <c r="E19" s="49">
        <f>2560/3</f>
        <v>853.33333333333337</v>
      </c>
      <c r="F19" s="45" t="s">
        <v>11</v>
      </c>
    </row>
    <row r="20" spans="3:6" ht="20" hidden="1" customHeight="1" x14ac:dyDescent="0.2">
      <c r="C20" s="47">
        <v>45671</v>
      </c>
      <c r="D20" s="48" t="s">
        <v>444</v>
      </c>
      <c r="E20" s="49">
        <f>590/3</f>
        <v>196.66666666666666</v>
      </c>
      <c r="F20" s="45" t="s">
        <v>3</v>
      </c>
    </row>
    <row r="21" spans="3:6" ht="20" hidden="1" customHeight="1" x14ac:dyDescent="0.2">
      <c r="C21" s="47">
        <v>45671</v>
      </c>
      <c r="D21" s="48" t="s">
        <v>444</v>
      </c>
      <c r="E21" s="49">
        <f>590/3</f>
        <v>196.66666666666666</v>
      </c>
      <c r="F21" s="45" t="s">
        <v>11</v>
      </c>
    </row>
    <row r="22" spans="3:6" ht="20" hidden="1" customHeight="1" x14ac:dyDescent="0.2">
      <c r="C22" s="47">
        <v>45671</v>
      </c>
      <c r="D22" s="48" t="s">
        <v>445</v>
      </c>
      <c r="E22" s="49">
        <f>60/3</f>
        <v>20</v>
      </c>
      <c r="F22" s="45" t="s">
        <v>3</v>
      </c>
    </row>
    <row r="23" spans="3:6" ht="20" hidden="1" customHeight="1" x14ac:dyDescent="0.2">
      <c r="C23" s="47">
        <v>45671</v>
      </c>
      <c r="D23" s="48" t="s">
        <v>445</v>
      </c>
      <c r="E23" s="49">
        <f>60/3</f>
        <v>20</v>
      </c>
      <c r="F23" s="45" t="s">
        <v>11</v>
      </c>
    </row>
    <row r="24" spans="3:6" ht="20" hidden="1" customHeight="1" x14ac:dyDescent="0.2">
      <c r="C24" s="47">
        <v>45671</v>
      </c>
      <c r="D24" s="48" t="s">
        <v>446</v>
      </c>
      <c r="E24" s="49">
        <f>355/3</f>
        <v>118.33333333333333</v>
      </c>
      <c r="F24" s="45" t="s">
        <v>3</v>
      </c>
    </row>
    <row r="25" spans="3:6" ht="20" hidden="1" customHeight="1" x14ac:dyDescent="0.2">
      <c r="C25" s="47">
        <v>45671</v>
      </c>
      <c r="D25" s="48" t="s">
        <v>446</v>
      </c>
      <c r="E25" s="49">
        <f>355/3</f>
        <v>118.33333333333333</v>
      </c>
      <c r="F25" s="45" t="s">
        <v>11</v>
      </c>
    </row>
    <row r="26" spans="3:6" ht="20" hidden="1" customHeight="1" x14ac:dyDescent="0.2">
      <c r="C26" s="47">
        <v>45671</v>
      </c>
      <c r="D26" s="48" t="s">
        <v>447</v>
      </c>
      <c r="E26" s="49">
        <f>(685+45)/3</f>
        <v>243.33333333333334</v>
      </c>
      <c r="F26" s="45" t="s">
        <v>3</v>
      </c>
    </row>
    <row r="27" spans="3:6" ht="20" hidden="1" customHeight="1" x14ac:dyDescent="0.2">
      <c r="C27" s="47">
        <v>45671</v>
      </c>
      <c r="D27" s="48" t="s">
        <v>447</v>
      </c>
      <c r="E27" s="49">
        <f>(685+45)/3</f>
        <v>243.33333333333334</v>
      </c>
      <c r="F27" s="45" t="s">
        <v>11</v>
      </c>
    </row>
    <row r="28" spans="3:6" ht="20" hidden="1" customHeight="1" x14ac:dyDescent="0.2">
      <c r="C28" s="47">
        <v>45672</v>
      </c>
      <c r="D28" s="48" t="s">
        <v>448</v>
      </c>
      <c r="E28" s="49">
        <f>269/2</f>
        <v>134.5</v>
      </c>
      <c r="F28" s="45" t="s">
        <v>3</v>
      </c>
    </row>
    <row r="29" spans="3:6" ht="20" hidden="1" customHeight="1" x14ac:dyDescent="0.2">
      <c r="C29" s="47">
        <v>45672</v>
      </c>
      <c r="D29" s="48" t="s">
        <v>448</v>
      </c>
      <c r="E29" s="49">
        <f>269/2</f>
        <v>134.5</v>
      </c>
      <c r="F29" s="45" t="s">
        <v>11</v>
      </c>
    </row>
    <row r="30" spans="3:6" ht="20" hidden="1" customHeight="1" x14ac:dyDescent="0.2">
      <c r="C30" s="47">
        <v>45672</v>
      </c>
      <c r="D30" s="48" t="s">
        <v>449</v>
      </c>
      <c r="E30" s="49">
        <f>270/3</f>
        <v>90</v>
      </c>
      <c r="F30" s="45" t="s">
        <v>3</v>
      </c>
    </row>
    <row r="31" spans="3:6" ht="20" hidden="1" customHeight="1" x14ac:dyDescent="0.2">
      <c r="C31" s="47">
        <v>45672</v>
      </c>
      <c r="D31" s="48" t="s">
        <v>449</v>
      </c>
      <c r="E31" s="49">
        <f>270/3</f>
        <v>90</v>
      </c>
      <c r="F31" s="45" t="s">
        <v>11</v>
      </c>
    </row>
    <row r="32" spans="3:6" ht="20" hidden="1" customHeight="1" x14ac:dyDescent="0.2">
      <c r="C32" s="47">
        <v>45672</v>
      </c>
      <c r="D32" s="48" t="s">
        <v>450</v>
      </c>
      <c r="E32" s="49">
        <f>385/3</f>
        <v>128.33333333333334</v>
      </c>
      <c r="F32" s="45" t="s">
        <v>3</v>
      </c>
    </row>
    <row r="33" spans="3:6" ht="20" hidden="1" customHeight="1" x14ac:dyDescent="0.2">
      <c r="C33" s="47">
        <v>45672</v>
      </c>
      <c r="D33" s="48" t="s">
        <v>450</v>
      </c>
      <c r="E33" s="49">
        <f>385/3</f>
        <v>128.33333333333334</v>
      </c>
      <c r="F33" s="45" t="s">
        <v>11</v>
      </c>
    </row>
    <row r="34" spans="3:6" ht="20" hidden="1" customHeight="1" x14ac:dyDescent="0.2">
      <c r="C34" s="47">
        <v>45672</v>
      </c>
      <c r="D34" s="48" t="s">
        <v>452</v>
      </c>
      <c r="E34" s="50">
        <f>(122+60)/3</f>
        <v>60.666666666666664</v>
      </c>
      <c r="F34" s="45" t="s">
        <v>3</v>
      </c>
    </row>
    <row r="35" spans="3:6" ht="20" hidden="1" customHeight="1" x14ac:dyDescent="0.2">
      <c r="C35" s="47">
        <v>45672</v>
      </c>
      <c r="D35" s="48" t="s">
        <v>452</v>
      </c>
      <c r="E35" s="50">
        <f>(122+60)/3</f>
        <v>60.666666666666664</v>
      </c>
      <c r="F35" s="45" t="s">
        <v>11</v>
      </c>
    </row>
    <row r="36" spans="3:6" ht="20" hidden="1" customHeight="1" x14ac:dyDescent="0.2">
      <c r="C36" s="47">
        <v>45672</v>
      </c>
      <c r="D36" s="48" t="s">
        <v>453</v>
      </c>
      <c r="E36" s="49">
        <f>285/3</f>
        <v>95</v>
      </c>
      <c r="F36" s="45" t="s">
        <v>3</v>
      </c>
    </row>
    <row r="37" spans="3:6" ht="20" hidden="1" customHeight="1" x14ac:dyDescent="0.2">
      <c r="C37" s="47">
        <v>45672</v>
      </c>
      <c r="D37" s="48" t="s">
        <v>453</v>
      </c>
      <c r="E37" s="49">
        <f>285/3</f>
        <v>95</v>
      </c>
      <c r="F37" s="45" t="s">
        <v>11</v>
      </c>
    </row>
    <row r="38" spans="3:6" ht="20" hidden="1" customHeight="1" x14ac:dyDescent="0.2">
      <c r="C38" s="47">
        <v>45672</v>
      </c>
      <c r="D38" s="48" t="s">
        <v>454</v>
      </c>
      <c r="E38" s="49">
        <f>240/3</f>
        <v>80</v>
      </c>
      <c r="F38" s="45" t="s">
        <v>3</v>
      </c>
    </row>
    <row r="39" spans="3:6" ht="20" hidden="1" customHeight="1" x14ac:dyDescent="0.2">
      <c r="C39" s="47">
        <v>45672</v>
      </c>
      <c r="D39" s="48" t="s">
        <v>454</v>
      </c>
      <c r="E39" s="49">
        <f>240/3</f>
        <v>80</v>
      </c>
      <c r="F39" s="45" t="s">
        <v>11</v>
      </c>
    </row>
    <row r="40" spans="3:6" ht="20" hidden="1" customHeight="1" x14ac:dyDescent="0.2">
      <c r="C40" s="47">
        <v>45672</v>
      </c>
      <c r="D40" s="48" t="s">
        <v>144</v>
      </c>
      <c r="E40" s="49">
        <f>250/3</f>
        <v>83.333333333333329</v>
      </c>
      <c r="F40" s="45" t="s">
        <v>3</v>
      </c>
    </row>
    <row r="41" spans="3:6" ht="20" hidden="1" customHeight="1" x14ac:dyDescent="0.2">
      <c r="C41" s="47">
        <v>45672</v>
      </c>
      <c r="D41" s="48" t="s">
        <v>144</v>
      </c>
      <c r="E41" s="49">
        <f>250/3</f>
        <v>83.333333333333329</v>
      </c>
      <c r="F41" s="45" t="s">
        <v>11</v>
      </c>
    </row>
    <row r="42" spans="3:6" ht="20" hidden="1" customHeight="1" x14ac:dyDescent="0.2">
      <c r="C42" s="47">
        <v>45673</v>
      </c>
      <c r="D42" s="48" t="s">
        <v>455</v>
      </c>
      <c r="E42" s="49">
        <f>125/3</f>
        <v>41.666666666666664</v>
      </c>
      <c r="F42" s="45" t="s">
        <v>3</v>
      </c>
    </row>
    <row r="43" spans="3:6" ht="20" hidden="1" customHeight="1" x14ac:dyDescent="0.2">
      <c r="C43" s="47">
        <v>45673</v>
      </c>
      <c r="D43" s="48" t="s">
        <v>455</v>
      </c>
      <c r="E43" s="49">
        <f>125/3</f>
        <v>41.666666666666664</v>
      </c>
      <c r="F43" s="45" t="s">
        <v>11</v>
      </c>
    </row>
    <row r="44" spans="3:6" ht="20" hidden="1" customHeight="1" x14ac:dyDescent="0.2">
      <c r="C44" s="47">
        <v>45673</v>
      </c>
      <c r="D44" s="48" t="s">
        <v>456</v>
      </c>
      <c r="E44" s="49">
        <f>133/3</f>
        <v>44.333333333333336</v>
      </c>
      <c r="F44" s="45" t="s">
        <v>3</v>
      </c>
    </row>
    <row r="45" spans="3:6" ht="20" hidden="1" customHeight="1" x14ac:dyDescent="0.2">
      <c r="C45" s="47">
        <v>45673</v>
      </c>
      <c r="D45" s="48" t="s">
        <v>456</v>
      </c>
      <c r="E45" s="49">
        <f>133/3</f>
        <v>44.333333333333336</v>
      </c>
      <c r="F45" s="45" t="s">
        <v>11</v>
      </c>
    </row>
    <row r="46" spans="3:6" ht="20" hidden="1" customHeight="1" x14ac:dyDescent="0.2">
      <c r="C46" s="47">
        <v>45673</v>
      </c>
      <c r="D46" s="48" t="s">
        <v>457</v>
      </c>
      <c r="E46" s="49">
        <f>150/3</f>
        <v>50</v>
      </c>
      <c r="F46" s="45" t="s">
        <v>3</v>
      </c>
    </row>
    <row r="47" spans="3:6" ht="20" hidden="1" customHeight="1" x14ac:dyDescent="0.2">
      <c r="C47" s="47">
        <v>45673</v>
      </c>
      <c r="D47" s="48" t="s">
        <v>457</v>
      </c>
      <c r="E47" s="49">
        <f>150/3</f>
        <v>50</v>
      </c>
      <c r="F47" s="45" t="s">
        <v>11</v>
      </c>
    </row>
    <row r="48" spans="3:6" ht="20" hidden="1" customHeight="1" x14ac:dyDescent="0.2">
      <c r="C48" s="47">
        <v>45673</v>
      </c>
      <c r="D48" s="48" t="s">
        <v>458</v>
      </c>
      <c r="E48" s="49">
        <f>580/3</f>
        <v>193.33333333333334</v>
      </c>
      <c r="F48" s="45" t="s">
        <v>3</v>
      </c>
    </row>
    <row r="49" spans="3:8" ht="20" hidden="1" customHeight="1" x14ac:dyDescent="0.2">
      <c r="C49" s="47">
        <v>45673</v>
      </c>
      <c r="D49" s="48" t="s">
        <v>458</v>
      </c>
      <c r="E49" s="49">
        <f>580/3</f>
        <v>193.33333333333334</v>
      </c>
      <c r="F49" s="45" t="s">
        <v>11</v>
      </c>
    </row>
    <row r="50" spans="3:8" ht="20" hidden="1" customHeight="1" x14ac:dyDescent="0.2">
      <c r="C50" s="47">
        <v>45673</v>
      </c>
      <c r="D50" s="48" t="s">
        <v>459</v>
      </c>
      <c r="E50" s="49">
        <f>420/3</f>
        <v>140</v>
      </c>
      <c r="F50" s="45" t="s">
        <v>3</v>
      </c>
    </row>
    <row r="51" spans="3:8" ht="20" hidden="1" customHeight="1" x14ac:dyDescent="0.2">
      <c r="C51" s="47">
        <v>45673</v>
      </c>
      <c r="D51" s="48" t="s">
        <v>459</v>
      </c>
      <c r="E51" s="49">
        <f>420/3</f>
        <v>140</v>
      </c>
      <c r="F51" s="45" t="s">
        <v>11</v>
      </c>
    </row>
    <row r="52" spans="3:8" ht="20" hidden="1" customHeight="1" x14ac:dyDescent="0.2">
      <c r="C52" s="47">
        <v>45673</v>
      </c>
      <c r="D52" s="48" t="s">
        <v>486</v>
      </c>
      <c r="E52" s="49">
        <f>1500/3</f>
        <v>500</v>
      </c>
      <c r="F52" s="45" t="s">
        <v>3</v>
      </c>
    </row>
    <row r="53" spans="3:8" ht="20" hidden="1" customHeight="1" x14ac:dyDescent="0.2">
      <c r="C53" s="47">
        <v>45673</v>
      </c>
      <c r="D53" s="48" t="s">
        <v>486</v>
      </c>
      <c r="E53" s="49">
        <f>1500/3</f>
        <v>500</v>
      </c>
      <c r="F53" s="45" t="s">
        <v>11</v>
      </c>
    </row>
    <row r="54" spans="3:8" ht="20" hidden="1" customHeight="1" x14ac:dyDescent="0.2">
      <c r="C54" s="47">
        <v>45674</v>
      </c>
      <c r="D54" s="48" t="s">
        <v>460</v>
      </c>
      <c r="E54" s="49">
        <f>315/3</f>
        <v>105</v>
      </c>
      <c r="F54" s="45" t="s">
        <v>3</v>
      </c>
    </row>
    <row r="55" spans="3:8" ht="20" hidden="1" customHeight="1" x14ac:dyDescent="0.2">
      <c r="C55" s="47">
        <v>45674</v>
      </c>
      <c r="D55" s="48" t="s">
        <v>460</v>
      </c>
      <c r="E55" s="49">
        <f>315/3</f>
        <v>105</v>
      </c>
      <c r="F55" s="45" t="s">
        <v>11</v>
      </c>
    </row>
    <row r="56" spans="3:8" ht="20" hidden="1" customHeight="1" x14ac:dyDescent="0.2">
      <c r="C56" s="47">
        <v>45676</v>
      </c>
      <c r="D56" s="48" t="s">
        <v>461</v>
      </c>
      <c r="E56" s="49">
        <f>658/3</f>
        <v>219.33333333333334</v>
      </c>
      <c r="F56" s="45" t="s">
        <v>3</v>
      </c>
    </row>
    <row r="57" spans="3:8" ht="20" hidden="1" customHeight="1" x14ac:dyDescent="0.2">
      <c r="C57" s="47">
        <v>45676</v>
      </c>
      <c r="D57" s="48" t="s">
        <v>461</v>
      </c>
      <c r="E57" s="49">
        <f>658/3</f>
        <v>219.33333333333334</v>
      </c>
      <c r="F57" s="45" t="s">
        <v>11</v>
      </c>
    </row>
    <row r="58" spans="3:8" ht="20" hidden="1" customHeight="1" x14ac:dyDescent="0.2">
      <c r="C58" s="47">
        <v>45676</v>
      </c>
      <c r="D58" s="48" t="s">
        <v>451</v>
      </c>
      <c r="E58" s="49">
        <f>272/3</f>
        <v>90.666666666666671</v>
      </c>
      <c r="F58" s="45" t="s">
        <v>3</v>
      </c>
    </row>
    <row r="59" spans="3:8" ht="20" hidden="1" customHeight="1" x14ac:dyDescent="0.2">
      <c r="C59" s="47">
        <v>45676</v>
      </c>
      <c r="D59" s="48" t="s">
        <v>451</v>
      </c>
      <c r="E59" s="49">
        <f>272/3</f>
        <v>90.666666666666671</v>
      </c>
      <c r="F59" s="45" t="s">
        <v>11</v>
      </c>
    </row>
    <row r="60" spans="3:8" ht="20" hidden="1" customHeight="1" x14ac:dyDescent="0.2">
      <c r="C60" s="47">
        <v>45676</v>
      </c>
      <c r="D60" s="48" t="s">
        <v>462</v>
      </c>
      <c r="E60" s="49">
        <f>437/3</f>
        <v>145.66666666666666</v>
      </c>
      <c r="F60" s="45" t="s">
        <v>3</v>
      </c>
    </row>
    <row r="61" spans="3:8" ht="20" hidden="1" customHeight="1" x14ac:dyDescent="0.2">
      <c r="C61" s="47">
        <v>45676</v>
      </c>
      <c r="D61" s="48" t="s">
        <v>462</v>
      </c>
      <c r="E61" s="49">
        <f>437/3</f>
        <v>145.66666666666666</v>
      </c>
      <c r="F61" s="45" t="s">
        <v>11</v>
      </c>
    </row>
    <row r="62" spans="3:8" ht="20" hidden="1" customHeight="1" x14ac:dyDescent="0.2">
      <c r="C62" s="47">
        <v>45676</v>
      </c>
      <c r="D62" s="48" t="s">
        <v>463</v>
      </c>
      <c r="E62" s="49">
        <f>566/2</f>
        <v>283</v>
      </c>
      <c r="F62" s="45" t="s">
        <v>3</v>
      </c>
      <c r="H62" s="45" t="s">
        <v>464</v>
      </c>
    </row>
    <row r="63" spans="3:8" ht="20" hidden="1" customHeight="1" x14ac:dyDescent="0.2">
      <c r="C63" s="47">
        <v>45676</v>
      </c>
      <c r="D63" s="48" t="s">
        <v>463</v>
      </c>
      <c r="E63" s="49">
        <f>566/2</f>
        <v>283</v>
      </c>
      <c r="F63" s="45" t="s">
        <v>11</v>
      </c>
      <c r="H63" s="45" t="s">
        <v>464</v>
      </c>
    </row>
    <row r="64" spans="3:8" ht="20" hidden="1" customHeight="1" x14ac:dyDescent="0.2">
      <c r="C64" s="47">
        <v>45676</v>
      </c>
      <c r="D64" s="48" t="s">
        <v>465</v>
      </c>
      <c r="E64" s="49">
        <f>553/3</f>
        <v>184.33333333333334</v>
      </c>
      <c r="F64" s="45" t="s">
        <v>3</v>
      </c>
    </row>
    <row r="65" spans="3:6" ht="20" hidden="1" customHeight="1" x14ac:dyDescent="0.2">
      <c r="C65" s="47">
        <v>45676</v>
      </c>
      <c r="D65" s="48" t="s">
        <v>465</v>
      </c>
      <c r="E65" s="49">
        <f>553/3</f>
        <v>184.33333333333334</v>
      </c>
      <c r="F65" s="45" t="s">
        <v>11</v>
      </c>
    </row>
    <row r="66" spans="3:6" ht="20" hidden="1" customHeight="1" x14ac:dyDescent="0.2">
      <c r="C66" s="47">
        <v>45677</v>
      </c>
      <c r="D66" s="48" t="s">
        <v>466</v>
      </c>
      <c r="E66" s="49">
        <f>802/3</f>
        <v>267.33333333333331</v>
      </c>
      <c r="F66" s="45" t="s">
        <v>3</v>
      </c>
    </row>
    <row r="67" spans="3:6" ht="20" hidden="1" customHeight="1" x14ac:dyDescent="0.2">
      <c r="C67" s="47">
        <v>45677</v>
      </c>
      <c r="D67" s="48" t="s">
        <v>466</v>
      </c>
      <c r="E67" s="49">
        <f>802/3</f>
        <v>267.33333333333331</v>
      </c>
      <c r="F67" s="45" t="s">
        <v>11</v>
      </c>
    </row>
    <row r="68" spans="3:6" ht="20" hidden="1" customHeight="1" x14ac:dyDescent="0.2">
      <c r="C68" s="47">
        <v>45677</v>
      </c>
      <c r="D68" s="48" t="s">
        <v>467</v>
      </c>
      <c r="E68" s="49">
        <f>172/3</f>
        <v>57.333333333333336</v>
      </c>
      <c r="F68" s="45" t="s">
        <v>3</v>
      </c>
    </row>
    <row r="69" spans="3:6" ht="20" hidden="1" customHeight="1" x14ac:dyDescent="0.2">
      <c r="C69" s="47">
        <v>45677</v>
      </c>
      <c r="D69" s="48" t="s">
        <v>467</v>
      </c>
      <c r="E69" s="49">
        <f>172/3</f>
        <v>57.333333333333336</v>
      </c>
      <c r="F69" s="45" t="s">
        <v>11</v>
      </c>
    </row>
    <row r="70" spans="3:6" ht="20" hidden="1" customHeight="1" x14ac:dyDescent="0.2">
      <c r="C70" s="47">
        <v>45677</v>
      </c>
      <c r="D70" s="48" t="s">
        <v>468</v>
      </c>
      <c r="E70" s="49">
        <f>(170+63)/3</f>
        <v>77.666666666666671</v>
      </c>
      <c r="F70" s="45" t="s">
        <v>3</v>
      </c>
    </row>
    <row r="71" spans="3:6" ht="20" hidden="1" customHeight="1" x14ac:dyDescent="0.2">
      <c r="C71" s="47">
        <v>45677</v>
      </c>
      <c r="D71" s="48" t="s">
        <v>468</v>
      </c>
      <c r="E71" s="49">
        <f>(170+63)/3</f>
        <v>77.666666666666671</v>
      </c>
      <c r="F71" s="45" t="s">
        <v>11</v>
      </c>
    </row>
    <row r="72" spans="3:6" ht="20" hidden="1" customHeight="1" x14ac:dyDescent="0.2">
      <c r="C72" s="47">
        <v>45677</v>
      </c>
      <c r="D72" s="48" t="s">
        <v>482</v>
      </c>
      <c r="E72" s="49">
        <f>1300/3</f>
        <v>433.33333333333331</v>
      </c>
      <c r="F72" s="45" t="s">
        <v>3</v>
      </c>
    </row>
    <row r="73" spans="3:6" ht="20" hidden="1" customHeight="1" x14ac:dyDescent="0.2">
      <c r="C73" s="47">
        <v>45677</v>
      </c>
      <c r="D73" s="48" t="s">
        <v>482</v>
      </c>
      <c r="E73" s="49">
        <f>1300/3</f>
        <v>433.33333333333331</v>
      </c>
      <c r="F73" s="45" t="s">
        <v>11</v>
      </c>
    </row>
    <row r="74" spans="3:6" ht="20" hidden="1" customHeight="1" x14ac:dyDescent="0.2">
      <c r="C74" s="47">
        <v>45678</v>
      </c>
      <c r="D74" s="48" t="s">
        <v>469</v>
      </c>
      <c r="E74" s="49">
        <f>280/2</f>
        <v>140</v>
      </c>
      <c r="F74" s="45" t="s">
        <v>3</v>
      </c>
    </row>
    <row r="75" spans="3:6" ht="20" hidden="1" customHeight="1" x14ac:dyDescent="0.2">
      <c r="C75" s="47">
        <v>45678</v>
      </c>
      <c r="D75" s="48" t="s">
        <v>470</v>
      </c>
      <c r="E75" s="49">
        <f>3540/3</f>
        <v>1180</v>
      </c>
      <c r="F75" s="45" t="s">
        <v>11</v>
      </c>
    </row>
    <row r="76" spans="3:6" ht="20" hidden="1" customHeight="1" x14ac:dyDescent="0.2">
      <c r="C76" s="47">
        <v>45678</v>
      </c>
      <c r="D76" s="48" t="s">
        <v>470</v>
      </c>
      <c r="E76" s="49">
        <f>3540/3</f>
        <v>1180</v>
      </c>
      <c r="F76" s="45" t="s">
        <v>3</v>
      </c>
    </row>
    <row r="77" spans="3:6" ht="20" hidden="1" customHeight="1" x14ac:dyDescent="0.2">
      <c r="C77" s="47">
        <v>45679</v>
      </c>
      <c r="D77" s="48" t="s">
        <v>471</v>
      </c>
      <c r="E77" s="49">
        <f>160/3</f>
        <v>53.333333333333336</v>
      </c>
      <c r="F77" s="45" t="s">
        <v>11</v>
      </c>
    </row>
    <row r="78" spans="3:6" ht="20" hidden="1" customHeight="1" x14ac:dyDescent="0.2">
      <c r="C78" s="47">
        <v>45679</v>
      </c>
      <c r="D78" s="48" t="s">
        <v>471</v>
      </c>
      <c r="E78" s="49">
        <f>160/3</f>
        <v>53.333333333333336</v>
      </c>
      <c r="F78" s="45" t="s">
        <v>3</v>
      </c>
    </row>
    <row r="79" spans="3:6" ht="20" hidden="1" customHeight="1" x14ac:dyDescent="0.2">
      <c r="C79" s="47">
        <v>45679</v>
      </c>
      <c r="D79" s="48" t="s">
        <v>472</v>
      </c>
      <c r="E79" s="49">
        <f>183/2</f>
        <v>91.5</v>
      </c>
      <c r="F79" s="45" t="s">
        <v>3</v>
      </c>
    </row>
    <row r="80" spans="3:6" ht="20" hidden="1" customHeight="1" x14ac:dyDescent="0.2">
      <c r="C80" s="47">
        <v>45679</v>
      </c>
      <c r="D80" s="48" t="s">
        <v>473</v>
      </c>
      <c r="E80" s="49">
        <f>110/3</f>
        <v>36.666666666666664</v>
      </c>
      <c r="F80" s="45" t="s">
        <v>3</v>
      </c>
    </row>
    <row r="81" spans="3:6" ht="20" hidden="1" customHeight="1" x14ac:dyDescent="0.2">
      <c r="C81" s="47">
        <v>45679</v>
      </c>
      <c r="D81" s="48" t="s">
        <v>473</v>
      </c>
      <c r="E81" s="49">
        <f>110/3</f>
        <v>36.666666666666664</v>
      </c>
      <c r="F81" s="45" t="s">
        <v>11</v>
      </c>
    </row>
    <row r="82" spans="3:6" ht="20" hidden="1" customHeight="1" x14ac:dyDescent="0.2">
      <c r="C82" s="47">
        <v>45679</v>
      </c>
      <c r="D82" s="48" t="s">
        <v>474</v>
      </c>
      <c r="E82" s="49">
        <f>528/2</f>
        <v>264</v>
      </c>
      <c r="F82" s="45" t="s">
        <v>3</v>
      </c>
    </row>
    <row r="83" spans="3:6" ht="20" hidden="1" customHeight="1" x14ac:dyDescent="0.2">
      <c r="C83" s="47">
        <v>45680</v>
      </c>
      <c r="D83" s="48" t="s">
        <v>475</v>
      </c>
      <c r="E83" s="49">
        <f>336/2</f>
        <v>168</v>
      </c>
      <c r="F83" s="45" t="s">
        <v>3</v>
      </c>
    </row>
    <row r="84" spans="3:6" ht="20" hidden="1" customHeight="1" x14ac:dyDescent="0.2">
      <c r="C84" s="47">
        <v>45680</v>
      </c>
      <c r="D84" s="48" t="s">
        <v>476</v>
      </c>
      <c r="E84" s="49">
        <v>788</v>
      </c>
      <c r="F84" s="45" t="s">
        <v>3</v>
      </c>
    </row>
    <row r="85" spans="3:6" ht="20" hidden="1" customHeight="1" x14ac:dyDescent="0.2">
      <c r="C85" s="47">
        <v>45680</v>
      </c>
      <c r="D85" s="48" t="s">
        <v>476</v>
      </c>
      <c r="E85" s="49">
        <v>256</v>
      </c>
      <c r="F85" s="45" t="s">
        <v>11</v>
      </c>
    </row>
    <row r="86" spans="3:6" ht="20" hidden="1" customHeight="1" x14ac:dyDescent="0.2">
      <c r="C86" s="47">
        <v>45680</v>
      </c>
      <c r="D86" s="48" t="s">
        <v>474</v>
      </c>
      <c r="E86" s="49">
        <f>669/3</f>
        <v>223</v>
      </c>
      <c r="F86" s="45" t="s">
        <v>3</v>
      </c>
    </row>
    <row r="87" spans="3:6" ht="20" hidden="1" customHeight="1" x14ac:dyDescent="0.2">
      <c r="C87" s="47">
        <v>45680</v>
      </c>
      <c r="D87" s="48" t="s">
        <v>474</v>
      </c>
      <c r="E87" s="49">
        <f>669/3</f>
        <v>223</v>
      </c>
      <c r="F87" s="45" t="s">
        <v>11</v>
      </c>
    </row>
    <row r="88" spans="3:6" ht="20" hidden="1" customHeight="1" x14ac:dyDescent="0.2">
      <c r="C88" s="47">
        <v>45680</v>
      </c>
      <c r="D88" s="48" t="s">
        <v>477</v>
      </c>
      <c r="E88" s="49">
        <f>796/3</f>
        <v>265.33333333333331</v>
      </c>
      <c r="F88" s="45" t="s">
        <v>3</v>
      </c>
    </row>
    <row r="89" spans="3:6" ht="20" hidden="1" customHeight="1" x14ac:dyDescent="0.2">
      <c r="C89" s="47">
        <v>45680</v>
      </c>
      <c r="D89" s="48" t="s">
        <v>477</v>
      </c>
      <c r="E89" s="49">
        <f>796/3</f>
        <v>265.33333333333331</v>
      </c>
      <c r="F89" s="45" t="s">
        <v>11</v>
      </c>
    </row>
    <row r="90" spans="3:6" ht="20" hidden="1" customHeight="1" x14ac:dyDescent="0.2">
      <c r="C90" s="47">
        <v>45680</v>
      </c>
      <c r="D90" s="48" t="s">
        <v>478</v>
      </c>
      <c r="E90" s="49">
        <v>450</v>
      </c>
      <c r="F90" s="45" t="s">
        <v>3</v>
      </c>
    </row>
    <row r="91" spans="3:6" ht="20" hidden="1" customHeight="1" x14ac:dyDescent="0.2">
      <c r="C91" s="47">
        <v>45681</v>
      </c>
      <c r="D91" s="48" t="s">
        <v>475</v>
      </c>
      <c r="E91" s="49">
        <f>404/2</f>
        <v>202</v>
      </c>
      <c r="F91" s="45" t="s">
        <v>3</v>
      </c>
    </row>
    <row r="92" spans="3:6" ht="20" hidden="1" customHeight="1" x14ac:dyDescent="0.2">
      <c r="C92" s="47">
        <v>45682</v>
      </c>
      <c r="D92" s="48" t="s">
        <v>479</v>
      </c>
      <c r="E92" s="49">
        <v>216.5</v>
      </c>
      <c r="F92" s="45" t="s">
        <v>11</v>
      </c>
    </row>
    <row r="93" spans="3:6" ht="20" hidden="1" customHeight="1" x14ac:dyDescent="0.2">
      <c r="C93" s="47">
        <v>45683</v>
      </c>
      <c r="D93" s="48" t="s">
        <v>480</v>
      </c>
      <c r="E93" s="49">
        <v>163.33333333333334</v>
      </c>
      <c r="F93" s="45" t="s">
        <v>3</v>
      </c>
    </row>
    <row r="94" spans="3:6" ht="20" hidden="1" customHeight="1" x14ac:dyDescent="0.2">
      <c r="C94" s="47">
        <v>45683</v>
      </c>
      <c r="D94" s="48" t="s">
        <v>480</v>
      </c>
      <c r="E94" s="49">
        <v>163.33333333333334</v>
      </c>
      <c r="F94" s="45" t="s">
        <v>11</v>
      </c>
    </row>
    <row r="95" spans="3:6" ht="20" hidden="1" customHeight="1" x14ac:dyDescent="0.2">
      <c r="C95" s="47">
        <v>45683</v>
      </c>
      <c r="D95" s="48" t="s">
        <v>481</v>
      </c>
      <c r="E95" s="49">
        <f>790/2</f>
        <v>395</v>
      </c>
      <c r="F95" s="45" t="s">
        <v>3</v>
      </c>
    </row>
    <row r="96" spans="3:6" ht="20" hidden="1" customHeight="1" x14ac:dyDescent="0.2">
      <c r="C96" s="47">
        <v>45683</v>
      </c>
      <c r="D96" s="48" t="s">
        <v>467</v>
      </c>
      <c r="E96" s="49">
        <f>95/2</f>
        <v>47.5</v>
      </c>
      <c r="F96" s="45" t="s">
        <v>3</v>
      </c>
    </row>
    <row r="97" spans="3:6" ht="20" hidden="1" customHeight="1" x14ac:dyDescent="0.2">
      <c r="C97" s="47">
        <v>45683</v>
      </c>
      <c r="D97" s="48" t="s">
        <v>479</v>
      </c>
      <c r="E97" s="49">
        <f>650/3</f>
        <v>216.66666666666666</v>
      </c>
      <c r="F97" s="45" t="s">
        <v>3</v>
      </c>
    </row>
    <row r="98" spans="3:6" ht="20" hidden="1" customHeight="1" x14ac:dyDescent="0.2">
      <c r="C98" s="47">
        <v>45683</v>
      </c>
      <c r="D98" s="48" t="s">
        <v>479</v>
      </c>
      <c r="E98" s="49">
        <f>650/3</f>
        <v>216.66666666666666</v>
      </c>
      <c r="F98" s="45" t="s">
        <v>11</v>
      </c>
    </row>
    <row r="99" spans="3:6" ht="20" hidden="1" customHeight="1" x14ac:dyDescent="0.2">
      <c r="C99" s="47">
        <v>45684</v>
      </c>
      <c r="D99" s="48" t="s">
        <v>475</v>
      </c>
      <c r="E99" s="49">
        <v>111.5</v>
      </c>
      <c r="F99" s="45" t="s">
        <v>3</v>
      </c>
    </row>
    <row r="100" spans="3:6" ht="20" hidden="1" customHeight="1" x14ac:dyDescent="0.2">
      <c r="C100" s="47">
        <v>45684</v>
      </c>
      <c r="D100" s="48" t="s">
        <v>459</v>
      </c>
      <c r="E100" s="49">
        <f>230/2</f>
        <v>115</v>
      </c>
      <c r="F100" s="45" t="s">
        <v>3</v>
      </c>
    </row>
    <row r="101" spans="3:6" ht="20" hidden="1" customHeight="1" x14ac:dyDescent="0.2">
      <c r="C101" s="47">
        <v>45685</v>
      </c>
      <c r="D101" s="48" t="s">
        <v>652</v>
      </c>
      <c r="E101" s="49">
        <f>2293/3</f>
        <v>764.33333333333337</v>
      </c>
      <c r="F101" s="45" t="s">
        <v>3</v>
      </c>
    </row>
    <row r="102" spans="3:6" ht="20" hidden="1" customHeight="1" x14ac:dyDescent="0.2">
      <c r="C102" s="47">
        <v>45685</v>
      </c>
      <c r="D102" s="48" t="s">
        <v>652</v>
      </c>
      <c r="E102" s="49">
        <f>2293/3</f>
        <v>764.33333333333337</v>
      </c>
      <c r="F102" s="45" t="s">
        <v>11</v>
      </c>
    </row>
    <row r="103" spans="3:6" ht="20" hidden="1" customHeight="1" x14ac:dyDescent="0.2">
      <c r="C103" s="47">
        <v>45685</v>
      </c>
      <c r="D103" s="48" t="s">
        <v>476</v>
      </c>
      <c r="E103" s="49">
        <f>169/3</f>
        <v>56.333333333333336</v>
      </c>
      <c r="F103" s="45" t="s">
        <v>3</v>
      </c>
    </row>
    <row r="104" spans="3:6" ht="20" hidden="1" customHeight="1" x14ac:dyDescent="0.2">
      <c r="C104" s="47">
        <v>45685</v>
      </c>
      <c r="D104" s="48" t="s">
        <v>476</v>
      </c>
      <c r="E104" s="49">
        <f>169/3</f>
        <v>56.333333333333336</v>
      </c>
      <c r="F104" s="45" t="s">
        <v>11</v>
      </c>
    </row>
    <row r="105" spans="3:6" ht="20" hidden="1" customHeight="1" x14ac:dyDescent="0.2">
      <c r="C105" s="47">
        <v>45686</v>
      </c>
      <c r="D105" s="48" t="s">
        <v>483</v>
      </c>
      <c r="E105" s="49">
        <f>581/3</f>
        <v>193.66666666666666</v>
      </c>
      <c r="F105" s="45" t="s">
        <v>3</v>
      </c>
    </row>
    <row r="106" spans="3:6" ht="20" hidden="1" customHeight="1" x14ac:dyDescent="0.2">
      <c r="C106" s="47">
        <v>45686</v>
      </c>
      <c r="D106" s="48" t="s">
        <v>483</v>
      </c>
      <c r="E106" s="49">
        <f>581/3</f>
        <v>193.66666666666666</v>
      </c>
      <c r="F106" s="45" t="s">
        <v>11</v>
      </c>
    </row>
    <row r="107" spans="3:6" ht="20" hidden="1" customHeight="1" x14ac:dyDescent="0.2">
      <c r="C107" s="47">
        <v>45687</v>
      </c>
      <c r="D107" s="48" t="s">
        <v>484</v>
      </c>
      <c r="E107" s="49">
        <v>436</v>
      </c>
      <c r="F107" s="45" t="s">
        <v>3</v>
      </c>
    </row>
    <row r="108" spans="3:6" ht="20" hidden="1" customHeight="1" x14ac:dyDescent="0.2">
      <c r="C108" s="47">
        <v>45687</v>
      </c>
      <c r="D108" s="48" t="s">
        <v>484</v>
      </c>
      <c r="E108" s="49">
        <v>436</v>
      </c>
      <c r="F108" s="45" t="s">
        <v>11</v>
      </c>
    </row>
    <row r="109" spans="3:6" ht="20" hidden="1" customHeight="1" x14ac:dyDescent="0.2">
      <c r="C109" s="47">
        <v>45689</v>
      </c>
      <c r="D109" s="48" t="s">
        <v>487</v>
      </c>
      <c r="E109" s="49">
        <f>665/3</f>
        <v>221.66666666666666</v>
      </c>
      <c r="F109" s="45" t="s">
        <v>3</v>
      </c>
    </row>
    <row r="110" spans="3:6" ht="20" hidden="1" customHeight="1" x14ac:dyDescent="0.2">
      <c r="C110" s="47">
        <v>45689</v>
      </c>
      <c r="D110" s="48" t="s">
        <v>487</v>
      </c>
      <c r="E110" s="49">
        <f>665/3</f>
        <v>221.66666666666666</v>
      </c>
      <c r="F110" s="45" t="s">
        <v>11</v>
      </c>
    </row>
    <row r="111" spans="3:6" ht="20" hidden="1" customHeight="1" x14ac:dyDescent="0.2">
      <c r="C111" s="47">
        <v>45689</v>
      </c>
      <c r="D111" s="48" t="s">
        <v>488</v>
      </c>
      <c r="E111" s="49">
        <f>(30+756+60)/3</f>
        <v>282</v>
      </c>
      <c r="F111" s="45" t="s">
        <v>3</v>
      </c>
    </row>
    <row r="112" spans="3:6" ht="20" hidden="1" customHeight="1" x14ac:dyDescent="0.2">
      <c r="C112" s="47">
        <v>45689</v>
      </c>
      <c r="D112" s="48" t="s">
        <v>488</v>
      </c>
      <c r="E112" s="49">
        <f>(30+756+60)/3</f>
        <v>282</v>
      </c>
      <c r="F112" s="45" t="s">
        <v>11</v>
      </c>
    </row>
    <row r="113" spans="3:6" ht="20" hidden="1" customHeight="1" x14ac:dyDescent="0.2">
      <c r="C113" s="47">
        <v>45690</v>
      </c>
      <c r="D113" s="48" t="s">
        <v>489</v>
      </c>
      <c r="E113" s="49">
        <f>295/3</f>
        <v>98.333333333333329</v>
      </c>
      <c r="F113" s="45" t="s">
        <v>3</v>
      </c>
    </row>
    <row r="114" spans="3:6" ht="20" hidden="1" customHeight="1" x14ac:dyDescent="0.2">
      <c r="C114" s="47">
        <v>45690</v>
      </c>
      <c r="D114" s="48" t="s">
        <v>489</v>
      </c>
      <c r="E114" s="49">
        <f>295/3</f>
        <v>98.333333333333329</v>
      </c>
      <c r="F114" s="45" t="s">
        <v>11</v>
      </c>
    </row>
    <row r="115" spans="3:6" ht="20" hidden="1" customHeight="1" x14ac:dyDescent="0.2">
      <c r="C115" s="47">
        <v>45690</v>
      </c>
      <c r="D115" s="48" t="s">
        <v>522</v>
      </c>
      <c r="E115" s="49">
        <v>499.56</v>
      </c>
      <c r="F115" s="45" t="s">
        <v>3</v>
      </c>
    </row>
    <row r="116" spans="3:6" ht="20" hidden="1" customHeight="1" x14ac:dyDescent="0.2">
      <c r="C116" s="47">
        <v>45691</v>
      </c>
      <c r="D116" s="48" t="s">
        <v>490</v>
      </c>
      <c r="E116" s="49">
        <f>393/3</f>
        <v>131</v>
      </c>
      <c r="F116" s="45" t="s">
        <v>3</v>
      </c>
    </row>
    <row r="117" spans="3:6" ht="20" hidden="1" customHeight="1" x14ac:dyDescent="0.2">
      <c r="C117" s="47">
        <v>45691</v>
      </c>
      <c r="D117" s="48" t="s">
        <v>490</v>
      </c>
      <c r="E117" s="49">
        <f>393/3</f>
        <v>131</v>
      </c>
      <c r="F117" s="45" t="s">
        <v>11</v>
      </c>
    </row>
    <row r="118" spans="3:6" ht="20" hidden="1" customHeight="1" x14ac:dyDescent="0.2">
      <c r="C118" s="47">
        <v>45691</v>
      </c>
      <c r="D118" s="48" t="s">
        <v>491</v>
      </c>
      <c r="E118" s="49">
        <f>687/3</f>
        <v>229</v>
      </c>
      <c r="F118" s="45" t="s">
        <v>3</v>
      </c>
    </row>
    <row r="119" spans="3:6" ht="20" hidden="1" customHeight="1" x14ac:dyDescent="0.2">
      <c r="C119" s="47">
        <v>45691</v>
      </c>
      <c r="D119" s="48" t="s">
        <v>491</v>
      </c>
      <c r="E119" s="49">
        <f>687/3</f>
        <v>229</v>
      </c>
      <c r="F119" s="45" t="s">
        <v>11</v>
      </c>
    </row>
    <row r="120" spans="3:6" ht="20" hidden="1" customHeight="1" x14ac:dyDescent="0.2">
      <c r="C120" s="47">
        <v>45694</v>
      </c>
      <c r="D120" s="48" t="s">
        <v>13</v>
      </c>
      <c r="E120" s="49">
        <v>40</v>
      </c>
      <c r="F120" s="45" t="s">
        <v>3</v>
      </c>
    </row>
    <row r="121" spans="3:6" ht="20" hidden="1" customHeight="1" x14ac:dyDescent="0.2">
      <c r="C121" s="47">
        <v>45695</v>
      </c>
      <c r="D121" s="48" t="s">
        <v>492</v>
      </c>
      <c r="E121" s="49">
        <f>100/3</f>
        <v>33.333333333333336</v>
      </c>
      <c r="F121" s="45" t="s">
        <v>3</v>
      </c>
    </row>
    <row r="122" spans="3:6" ht="20" hidden="1" customHeight="1" x14ac:dyDescent="0.2">
      <c r="C122" s="47">
        <v>45695</v>
      </c>
      <c r="D122" s="48" t="s">
        <v>492</v>
      </c>
      <c r="E122" s="49">
        <f>100/3</f>
        <v>33.333333333333336</v>
      </c>
      <c r="F122" s="45" t="s">
        <v>11</v>
      </c>
    </row>
    <row r="123" spans="3:6" ht="20" hidden="1" customHeight="1" x14ac:dyDescent="0.2">
      <c r="C123" s="47">
        <v>45695</v>
      </c>
      <c r="D123" s="48" t="s">
        <v>494</v>
      </c>
      <c r="E123" s="49">
        <f>1430/4</f>
        <v>357.5</v>
      </c>
      <c r="F123" s="45" t="s">
        <v>3</v>
      </c>
    </row>
    <row r="124" spans="3:6" ht="20" hidden="1" customHeight="1" x14ac:dyDescent="0.2">
      <c r="C124" s="47">
        <v>45695</v>
      </c>
      <c r="D124" s="48" t="s">
        <v>494</v>
      </c>
      <c r="E124" s="49">
        <f>1430/4</f>
        <v>357.5</v>
      </c>
      <c r="F124" s="45" t="s">
        <v>11</v>
      </c>
    </row>
    <row r="125" spans="3:6" ht="20" hidden="1" customHeight="1" x14ac:dyDescent="0.2">
      <c r="C125" s="47">
        <v>45695</v>
      </c>
      <c r="D125" s="48" t="s">
        <v>494</v>
      </c>
      <c r="E125" s="49">
        <f>1430/4</f>
        <v>357.5</v>
      </c>
      <c r="F125" s="45" t="s">
        <v>493</v>
      </c>
    </row>
    <row r="126" spans="3:6" ht="20" hidden="1" customHeight="1" x14ac:dyDescent="0.2">
      <c r="C126" s="47">
        <v>45696</v>
      </c>
      <c r="D126" s="48" t="s">
        <v>495</v>
      </c>
      <c r="E126" s="49">
        <f>485/3</f>
        <v>161.66666666666666</v>
      </c>
      <c r="F126" s="45" t="s">
        <v>3</v>
      </c>
    </row>
    <row r="127" spans="3:6" ht="20" hidden="1" customHeight="1" x14ac:dyDescent="0.2">
      <c r="C127" s="47">
        <v>45696</v>
      </c>
      <c r="D127" s="48" t="s">
        <v>495</v>
      </c>
      <c r="E127" s="49">
        <f>485/3</f>
        <v>161.66666666666666</v>
      </c>
      <c r="F127" s="45" t="s">
        <v>11</v>
      </c>
    </row>
    <row r="128" spans="3:6" ht="20" hidden="1" customHeight="1" x14ac:dyDescent="0.2">
      <c r="C128" s="47">
        <v>45696</v>
      </c>
      <c r="D128" s="48" t="s">
        <v>496</v>
      </c>
      <c r="E128" s="49">
        <f>592/3</f>
        <v>197.33333333333334</v>
      </c>
      <c r="F128" s="45" t="s">
        <v>3</v>
      </c>
    </row>
    <row r="129" spans="3:7" ht="20" hidden="1" customHeight="1" x14ac:dyDescent="0.2">
      <c r="C129" s="47">
        <v>45696</v>
      </c>
      <c r="D129" s="48" t="s">
        <v>496</v>
      </c>
      <c r="E129" s="49">
        <f>592/3</f>
        <v>197.33333333333334</v>
      </c>
      <c r="F129" s="45" t="s">
        <v>11</v>
      </c>
    </row>
    <row r="130" spans="3:7" ht="20" hidden="1" customHeight="1" x14ac:dyDescent="0.2">
      <c r="C130" s="47">
        <v>45696</v>
      </c>
      <c r="D130" s="48" t="s">
        <v>497</v>
      </c>
      <c r="E130" s="49">
        <f>(570+40)/2</f>
        <v>305</v>
      </c>
      <c r="F130" s="45" t="s">
        <v>3</v>
      </c>
    </row>
    <row r="131" spans="3:7" ht="20" hidden="1" customHeight="1" x14ac:dyDescent="0.2">
      <c r="C131" s="47">
        <v>45699</v>
      </c>
      <c r="D131" s="48" t="s">
        <v>498</v>
      </c>
      <c r="E131" s="49">
        <f>168/3</f>
        <v>56</v>
      </c>
      <c r="F131" s="45" t="s">
        <v>3</v>
      </c>
    </row>
    <row r="132" spans="3:7" ht="20" hidden="1" customHeight="1" x14ac:dyDescent="0.2">
      <c r="C132" s="47">
        <v>45699</v>
      </c>
      <c r="D132" s="48" t="s">
        <v>498</v>
      </c>
      <c r="E132" s="49">
        <f>168/3</f>
        <v>56</v>
      </c>
      <c r="F132" s="45" t="s">
        <v>11</v>
      </c>
    </row>
    <row r="133" spans="3:7" ht="20" hidden="1" customHeight="1" x14ac:dyDescent="0.2">
      <c r="C133" s="47">
        <v>45700</v>
      </c>
      <c r="D133" s="48" t="s">
        <v>499</v>
      </c>
      <c r="E133" s="49">
        <f>169/3</f>
        <v>56.333333333333336</v>
      </c>
      <c r="F133" s="45" t="s">
        <v>3</v>
      </c>
    </row>
    <row r="134" spans="3:7" ht="20" hidden="1" customHeight="1" x14ac:dyDescent="0.2">
      <c r="C134" s="47">
        <v>45700</v>
      </c>
      <c r="D134" s="48" t="s">
        <v>499</v>
      </c>
      <c r="E134" s="49">
        <f>169/3</f>
        <v>56.333333333333336</v>
      </c>
      <c r="F134" s="45" t="s">
        <v>11</v>
      </c>
    </row>
    <row r="135" spans="3:7" ht="20" hidden="1" customHeight="1" x14ac:dyDescent="0.2">
      <c r="C135" s="47">
        <v>45700</v>
      </c>
      <c r="D135" s="48" t="s">
        <v>500</v>
      </c>
      <c r="E135" s="49">
        <v>100</v>
      </c>
      <c r="F135" s="45" t="s">
        <v>3</v>
      </c>
    </row>
    <row r="136" spans="3:7" ht="20" hidden="1" customHeight="1" x14ac:dyDescent="0.2">
      <c r="C136" s="47">
        <v>45701</v>
      </c>
      <c r="D136" s="48" t="s">
        <v>501</v>
      </c>
      <c r="E136" s="49">
        <f>161/3</f>
        <v>53.666666666666664</v>
      </c>
      <c r="F136" s="45" t="s">
        <v>11</v>
      </c>
    </row>
    <row r="137" spans="3:7" ht="20" hidden="1" customHeight="1" x14ac:dyDescent="0.2">
      <c r="C137" s="47">
        <v>45701</v>
      </c>
      <c r="D137" s="48" t="s">
        <v>501</v>
      </c>
      <c r="E137" s="49">
        <f>161/3</f>
        <v>53.666666666666664</v>
      </c>
      <c r="F137" s="45" t="s">
        <v>3</v>
      </c>
    </row>
    <row r="138" spans="3:7" ht="20" hidden="1" customHeight="1" x14ac:dyDescent="0.2">
      <c r="C138" s="47">
        <v>45702</v>
      </c>
      <c r="D138" s="48" t="s">
        <v>503</v>
      </c>
      <c r="E138" s="49">
        <f>1590/3</f>
        <v>530</v>
      </c>
      <c r="F138" s="45" t="s">
        <v>3</v>
      </c>
    </row>
    <row r="139" spans="3:7" ht="20" hidden="1" customHeight="1" x14ac:dyDescent="0.2">
      <c r="C139" s="47">
        <v>45702</v>
      </c>
      <c r="D139" s="48" t="s">
        <v>503</v>
      </c>
      <c r="E139" s="49">
        <f>1590/3</f>
        <v>530</v>
      </c>
      <c r="F139" s="45" t="s">
        <v>11</v>
      </c>
    </row>
    <row r="140" spans="3:7" ht="20" hidden="1" customHeight="1" x14ac:dyDescent="0.2">
      <c r="C140" s="47">
        <v>45703</v>
      </c>
      <c r="D140" s="48" t="s">
        <v>505</v>
      </c>
      <c r="E140" s="49">
        <f>127/3</f>
        <v>42.333333333333336</v>
      </c>
      <c r="F140" s="45" t="s">
        <v>3</v>
      </c>
    </row>
    <row r="141" spans="3:7" ht="20" hidden="1" customHeight="1" x14ac:dyDescent="0.2">
      <c r="C141" s="47">
        <v>45703</v>
      </c>
      <c r="D141" s="48" t="s">
        <v>505</v>
      </c>
      <c r="E141" s="49">
        <f>127/3</f>
        <v>42.333333333333336</v>
      </c>
      <c r="F141" s="45" t="s">
        <v>11</v>
      </c>
    </row>
    <row r="142" spans="3:7" ht="20" hidden="1" customHeight="1" x14ac:dyDescent="0.2">
      <c r="C142" s="47">
        <v>45704</v>
      </c>
      <c r="D142" s="48" t="s">
        <v>506</v>
      </c>
      <c r="E142" s="49">
        <f>1210/5</f>
        <v>242</v>
      </c>
      <c r="F142" s="45" t="s">
        <v>3</v>
      </c>
    </row>
    <row r="143" spans="3:7" ht="20" hidden="1" customHeight="1" x14ac:dyDescent="0.2">
      <c r="C143" s="47">
        <v>45704</v>
      </c>
      <c r="D143" s="48" t="s">
        <v>506</v>
      </c>
      <c r="E143" s="49">
        <f>1210/5</f>
        <v>242</v>
      </c>
      <c r="F143" s="45" t="s">
        <v>11</v>
      </c>
    </row>
    <row r="144" spans="3:7" ht="20" hidden="1" customHeight="1" x14ac:dyDescent="0.2">
      <c r="C144" s="47">
        <v>45704</v>
      </c>
      <c r="D144" s="48" t="s">
        <v>506</v>
      </c>
      <c r="E144" s="49">
        <v>200</v>
      </c>
      <c r="F144" s="45" t="s">
        <v>508</v>
      </c>
      <c r="G144" s="45" t="s">
        <v>22</v>
      </c>
    </row>
    <row r="145" spans="3:7" ht="20" hidden="1" customHeight="1" x14ac:dyDescent="0.2">
      <c r="C145" s="47">
        <v>45705</v>
      </c>
      <c r="D145" s="48" t="s">
        <v>504</v>
      </c>
      <c r="E145" s="49">
        <f>197/3</f>
        <v>65.666666666666671</v>
      </c>
      <c r="F145" s="45" t="s">
        <v>3</v>
      </c>
    </row>
    <row r="146" spans="3:7" ht="20" hidden="1" customHeight="1" x14ac:dyDescent="0.2">
      <c r="C146" s="47">
        <v>45705</v>
      </c>
      <c r="D146" s="48" t="s">
        <v>504</v>
      </c>
      <c r="E146" s="49">
        <f>197/3</f>
        <v>65.666666666666671</v>
      </c>
      <c r="F146" s="45" t="s">
        <v>11</v>
      </c>
    </row>
    <row r="147" spans="3:7" ht="20" hidden="1" customHeight="1" x14ac:dyDescent="0.2">
      <c r="C147" s="47">
        <v>45705</v>
      </c>
      <c r="D147" s="48" t="s">
        <v>507</v>
      </c>
      <c r="E147" s="49">
        <f>34/2</f>
        <v>17</v>
      </c>
      <c r="F147" s="45" t="s">
        <v>3</v>
      </c>
    </row>
    <row r="148" spans="3:7" ht="20" hidden="1" customHeight="1" x14ac:dyDescent="0.2">
      <c r="C148" s="47">
        <v>45705</v>
      </c>
      <c r="D148" s="48" t="s">
        <v>509</v>
      </c>
      <c r="E148" s="49">
        <f>404/3</f>
        <v>134.66666666666666</v>
      </c>
      <c r="F148" s="45" t="s">
        <v>3</v>
      </c>
    </row>
    <row r="149" spans="3:7" ht="20" hidden="1" customHeight="1" x14ac:dyDescent="0.2">
      <c r="C149" s="47">
        <v>45705</v>
      </c>
      <c r="D149" s="48" t="s">
        <v>509</v>
      </c>
      <c r="E149" s="49">
        <f>404/3</f>
        <v>134.66666666666666</v>
      </c>
      <c r="F149" s="45" t="s">
        <v>11</v>
      </c>
    </row>
    <row r="150" spans="3:7" ht="20" hidden="1" customHeight="1" x14ac:dyDescent="0.2">
      <c r="C150" s="47">
        <v>45706</v>
      </c>
      <c r="D150" s="48" t="s">
        <v>502</v>
      </c>
      <c r="E150" s="49">
        <f>4300/3</f>
        <v>1433.3333333333333</v>
      </c>
      <c r="F150" s="45" t="s">
        <v>11</v>
      </c>
    </row>
    <row r="151" spans="3:7" ht="20" hidden="1" customHeight="1" x14ac:dyDescent="0.2">
      <c r="C151" s="47">
        <v>45706</v>
      </c>
      <c r="D151" s="48" t="s">
        <v>502</v>
      </c>
      <c r="E151" s="49">
        <f>4300/3</f>
        <v>1433.3333333333333</v>
      </c>
      <c r="F151" s="45" t="s">
        <v>3</v>
      </c>
    </row>
    <row r="152" spans="3:7" ht="20" hidden="1" customHeight="1" x14ac:dyDescent="0.2">
      <c r="C152" s="47">
        <v>45706</v>
      </c>
      <c r="D152" s="48" t="s">
        <v>510</v>
      </c>
      <c r="E152" s="49">
        <f>450/3</f>
        <v>150</v>
      </c>
      <c r="F152" s="45" t="s">
        <v>3</v>
      </c>
    </row>
    <row r="153" spans="3:7" ht="20" hidden="1" customHeight="1" x14ac:dyDescent="0.2">
      <c r="C153" s="47">
        <v>45706</v>
      </c>
      <c r="D153" s="48" t="s">
        <v>510</v>
      </c>
      <c r="E153" s="49">
        <f>450/3</f>
        <v>150</v>
      </c>
      <c r="F153" s="45" t="s">
        <v>11</v>
      </c>
    </row>
    <row r="154" spans="3:7" ht="20" hidden="1" customHeight="1" x14ac:dyDescent="0.2">
      <c r="C154" s="47">
        <v>45706</v>
      </c>
      <c r="D154" s="48" t="s">
        <v>511</v>
      </c>
      <c r="E154" s="49">
        <f>374/2</f>
        <v>187</v>
      </c>
      <c r="F154" s="45" t="s">
        <v>3</v>
      </c>
    </row>
    <row r="155" spans="3:7" ht="20" hidden="1" customHeight="1" x14ac:dyDescent="0.2">
      <c r="C155" s="47">
        <v>45708</v>
      </c>
      <c r="D155" s="48" t="s">
        <v>512</v>
      </c>
      <c r="E155" s="49">
        <f>50/2</f>
        <v>25</v>
      </c>
      <c r="F155" s="45" t="s">
        <v>3</v>
      </c>
    </row>
    <row r="156" spans="3:7" ht="20" hidden="1" customHeight="1" x14ac:dyDescent="0.2">
      <c r="C156" s="47">
        <v>45708</v>
      </c>
      <c r="D156" s="48" t="s">
        <v>513</v>
      </c>
      <c r="E156" s="49">
        <f>1023/3</f>
        <v>341</v>
      </c>
      <c r="F156" s="45" t="s">
        <v>3</v>
      </c>
    </row>
    <row r="157" spans="3:7" ht="20" hidden="1" customHeight="1" x14ac:dyDescent="0.2">
      <c r="C157" s="47">
        <v>45708</v>
      </c>
      <c r="D157" s="48" t="s">
        <v>513</v>
      </c>
      <c r="E157" s="49">
        <f>1023/3</f>
        <v>341</v>
      </c>
      <c r="F157" s="45" t="s">
        <v>493</v>
      </c>
    </row>
    <row r="158" spans="3:7" ht="20" hidden="1" customHeight="1" x14ac:dyDescent="0.2">
      <c r="C158" s="47">
        <v>45709</v>
      </c>
      <c r="D158" s="48" t="s">
        <v>514</v>
      </c>
      <c r="E158" s="49">
        <f>34/2</f>
        <v>17</v>
      </c>
      <c r="F158" s="45" t="s">
        <v>3</v>
      </c>
    </row>
    <row r="159" spans="3:7" ht="20" hidden="1" customHeight="1" x14ac:dyDescent="0.2">
      <c r="C159" s="47">
        <v>45710</v>
      </c>
      <c r="D159" s="48" t="s">
        <v>516</v>
      </c>
      <c r="E159" s="49">
        <v>1200</v>
      </c>
      <c r="F159" s="45" t="s">
        <v>515</v>
      </c>
      <c r="G159" s="45" t="s">
        <v>22</v>
      </c>
    </row>
    <row r="160" spans="3:7" ht="20" hidden="1" customHeight="1" x14ac:dyDescent="0.2">
      <c r="C160" s="47">
        <v>45710</v>
      </c>
      <c r="D160" s="48" t="s">
        <v>516</v>
      </c>
      <c r="E160" s="49">
        <f>1321/2</f>
        <v>660.5</v>
      </c>
      <c r="F160" s="45" t="s">
        <v>3</v>
      </c>
    </row>
    <row r="161" spans="3:6" ht="20" hidden="1" customHeight="1" x14ac:dyDescent="0.2">
      <c r="C161" s="47">
        <v>45710</v>
      </c>
      <c r="D161" s="48" t="s">
        <v>516</v>
      </c>
      <c r="E161" s="49">
        <f>1321/2</f>
        <v>660.5</v>
      </c>
      <c r="F161" s="45" t="s">
        <v>11</v>
      </c>
    </row>
    <row r="162" spans="3:6" ht="20" hidden="1" customHeight="1" x14ac:dyDescent="0.2">
      <c r="C162" s="47">
        <v>45710</v>
      </c>
      <c r="D162" s="48" t="s">
        <v>517</v>
      </c>
      <c r="E162" s="49">
        <f>269/2</f>
        <v>134.5</v>
      </c>
      <c r="F162" s="45" t="s">
        <v>11</v>
      </c>
    </row>
    <row r="163" spans="3:6" ht="20" hidden="1" customHeight="1" x14ac:dyDescent="0.2">
      <c r="C163" s="47">
        <v>45712</v>
      </c>
      <c r="D163" s="48" t="s">
        <v>518</v>
      </c>
      <c r="E163" s="49">
        <v>118</v>
      </c>
      <c r="F163" s="45" t="s">
        <v>3</v>
      </c>
    </row>
    <row r="164" spans="3:6" ht="20" hidden="1" customHeight="1" x14ac:dyDescent="0.2">
      <c r="C164" s="47">
        <v>45713</v>
      </c>
      <c r="D164" s="48" t="s">
        <v>519</v>
      </c>
      <c r="E164" s="49">
        <f>173/3</f>
        <v>57.666666666666664</v>
      </c>
      <c r="F164" s="45" t="s">
        <v>3</v>
      </c>
    </row>
    <row r="165" spans="3:6" ht="20" hidden="1" customHeight="1" x14ac:dyDescent="0.2">
      <c r="C165" s="47">
        <v>45713</v>
      </c>
      <c r="D165" s="48" t="s">
        <v>519</v>
      </c>
      <c r="E165" s="49">
        <f>173/3</f>
        <v>57.666666666666664</v>
      </c>
      <c r="F165" s="45" t="s">
        <v>11</v>
      </c>
    </row>
    <row r="166" spans="3:6" ht="20" hidden="1" customHeight="1" x14ac:dyDescent="0.2">
      <c r="C166" s="47">
        <v>45713</v>
      </c>
      <c r="D166" s="48" t="s">
        <v>529</v>
      </c>
      <c r="E166" s="49">
        <v>40</v>
      </c>
      <c r="F166" s="45" t="s">
        <v>3</v>
      </c>
    </row>
    <row r="167" spans="3:6" ht="20" hidden="1" customHeight="1" x14ac:dyDescent="0.2">
      <c r="C167" s="47">
        <v>45714</v>
      </c>
      <c r="D167" s="48" t="s">
        <v>520</v>
      </c>
      <c r="E167" s="49">
        <f>540/3</f>
        <v>180</v>
      </c>
      <c r="F167" s="45" t="s">
        <v>3</v>
      </c>
    </row>
    <row r="168" spans="3:6" ht="20" hidden="1" customHeight="1" x14ac:dyDescent="0.2">
      <c r="C168" s="47">
        <v>45714</v>
      </c>
      <c r="D168" s="48" t="s">
        <v>520</v>
      </c>
      <c r="E168" s="49">
        <f>540/3</f>
        <v>180</v>
      </c>
      <c r="F168" s="45" t="s">
        <v>11</v>
      </c>
    </row>
    <row r="169" spans="3:6" ht="20" hidden="1" customHeight="1" x14ac:dyDescent="0.2">
      <c r="C169" s="47">
        <v>45714</v>
      </c>
      <c r="D169" s="48" t="s">
        <v>521</v>
      </c>
      <c r="E169" s="49">
        <f>540/3</f>
        <v>180</v>
      </c>
      <c r="F169" s="45" t="s">
        <v>3</v>
      </c>
    </row>
    <row r="170" spans="3:6" ht="20" hidden="1" customHeight="1" x14ac:dyDescent="0.2">
      <c r="C170" s="47">
        <v>45714</v>
      </c>
      <c r="D170" s="48" t="s">
        <v>521</v>
      </c>
      <c r="E170" s="49">
        <f>540/3</f>
        <v>180</v>
      </c>
      <c r="F170" s="45" t="s">
        <v>11</v>
      </c>
    </row>
    <row r="171" spans="3:6" ht="20" hidden="1" customHeight="1" x14ac:dyDescent="0.2">
      <c r="C171" s="47">
        <v>45714</v>
      </c>
      <c r="D171" s="48" t="s">
        <v>439</v>
      </c>
      <c r="E171" s="49">
        <f>67/3</f>
        <v>22.333333333333332</v>
      </c>
      <c r="F171" s="45" t="s">
        <v>3</v>
      </c>
    </row>
    <row r="172" spans="3:6" ht="20" hidden="1" customHeight="1" x14ac:dyDescent="0.2">
      <c r="C172" s="47">
        <v>45714</v>
      </c>
      <c r="D172" s="48" t="s">
        <v>439</v>
      </c>
      <c r="E172" s="49">
        <f>67/3</f>
        <v>22.333333333333332</v>
      </c>
      <c r="F172" s="45" t="s">
        <v>11</v>
      </c>
    </row>
    <row r="173" spans="3:6" ht="20" hidden="1" customHeight="1" x14ac:dyDescent="0.2">
      <c r="C173" s="47">
        <v>45715</v>
      </c>
      <c r="D173" s="48" t="s">
        <v>527</v>
      </c>
      <c r="E173" s="49">
        <f>120/2</f>
        <v>60</v>
      </c>
      <c r="F173" s="45" t="s">
        <v>3</v>
      </c>
    </row>
    <row r="174" spans="3:6" ht="20" hidden="1" customHeight="1" x14ac:dyDescent="0.2">
      <c r="C174" s="47">
        <v>45716</v>
      </c>
      <c r="D174" s="48" t="s">
        <v>528</v>
      </c>
      <c r="E174" s="49">
        <v>225</v>
      </c>
      <c r="F174" s="45" t="s">
        <v>3</v>
      </c>
    </row>
    <row r="175" spans="3:6" ht="20" hidden="1" customHeight="1" x14ac:dyDescent="0.2">
      <c r="C175" s="47">
        <v>45717</v>
      </c>
      <c r="D175" s="48" t="s">
        <v>532</v>
      </c>
      <c r="E175" s="49">
        <v>195</v>
      </c>
      <c r="F175" s="45" t="s">
        <v>3</v>
      </c>
    </row>
    <row r="176" spans="3:6" ht="20" hidden="1" customHeight="1" x14ac:dyDescent="0.2">
      <c r="C176" s="47">
        <v>45717</v>
      </c>
      <c r="D176" s="48" t="s">
        <v>533</v>
      </c>
      <c r="E176" s="49">
        <f>(380+147)/3</f>
        <v>175.66666666666666</v>
      </c>
      <c r="F176" s="45" t="s">
        <v>3</v>
      </c>
    </row>
    <row r="177" spans="3:8" ht="20" hidden="1" customHeight="1" x14ac:dyDescent="0.2">
      <c r="C177" s="47">
        <v>45717</v>
      </c>
      <c r="D177" s="48" t="s">
        <v>533</v>
      </c>
      <c r="E177" s="49">
        <f>(380+147)/3</f>
        <v>175.66666666666666</v>
      </c>
      <c r="F177" s="45" t="s">
        <v>493</v>
      </c>
    </row>
    <row r="178" spans="3:8" ht="20" hidden="1" customHeight="1" x14ac:dyDescent="0.2">
      <c r="C178" s="47">
        <v>45717</v>
      </c>
      <c r="D178" s="48" t="s">
        <v>534</v>
      </c>
      <c r="E178" s="49">
        <f>229/3</f>
        <v>76.333333333333329</v>
      </c>
      <c r="F178" s="45" t="s">
        <v>3</v>
      </c>
    </row>
    <row r="179" spans="3:8" ht="20" hidden="1" customHeight="1" x14ac:dyDescent="0.2">
      <c r="C179" s="47">
        <v>45717</v>
      </c>
      <c r="D179" s="48" t="s">
        <v>534</v>
      </c>
      <c r="E179" s="49">
        <f>229/3</f>
        <v>76.333333333333329</v>
      </c>
      <c r="F179" s="45" t="s">
        <v>11</v>
      </c>
    </row>
    <row r="180" spans="3:8" ht="20" hidden="1" customHeight="1" x14ac:dyDescent="0.2">
      <c r="C180" s="47">
        <v>45718</v>
      </c>
      <c r="D180" s="48" t="s">
        <v>523</v>
      </c>
      <c r="E180" s="49">
        <v>499.56</v>
      </c>
      <c r="F180" s="45" t="s">
        <v>3</v>
      </c>
    </row>
    <row r="181" spans="3:8" ht="20" hidden="1" customHeight="1" x14ac:dyDescent="0.2">
      <c r="C181" s="47">
        <v>45718</v>
      </c>
      <c r="D181" s="48" t="s">
        <v>530</v>
      </c>
      <c r="E181" s="49">
        <f>831/3</f>
        <v>277</v>
      </c>
      <c r="F181" s="45" t="s">
        <v>3</v>
      </c>
    </row>
    <row r="182" spans="3:8" ht="20" hidden="1" customHeight="1" x14ac:dyDescent="0.2">
      <c r="C182" s="47">
        <v>45718</v>
      </c>
      <c r="D182" s="48" t="s">
        <v>530</v>
      </c>
      <c r="E182" s="49">
        <f>831/3</f>
        <v>277</v>
      </c>
      <c r="F182" s="45" t="s">
        <v>11</v>
      </c>
    </row>
    <row r="183" spans="3:8" ht="20" hidden="1" customHeight="1" x14ac:dyDescent="0.2">
      <c r="C183" s="47">
        <v>45718</v>
      </c>
      <c r="D183" s="48" t="s">
        <v>531</v>
      </c>
      <c r="E183" s="49">
        <f>1248/3</f>
        <v>416</v>
      </c>
      <c r="F183" s="45" t="s">
        <v>3</v>
      </c>
    </row>
    <row r="184" spans="3:8" ht="20" hidden="1" customHeight="1" x14ac:dyDescent="0.2">
      <c r="C184" s="47">
        <v>45718</v>
      </c>
      <c r="D184" s="48" t="s">
        <v>531</v>
      </c>
      <c r="E184" s="49">
        <f>1248/3</f>
        <v>416</v>
      </c>
      <c r="F184" s="45" t="s">
        <v>11</v>
      </c>
    </row>
    <row r="185" spans="3:8" ht="20" hidden="1" customHeight="1" x14ac:dyDescent="0.2">
      <c r="C185" s="47">
        <v>45725</v>
      </c>
      <c r="D185" s="48" t="s">
        <v>535</v>
      </c>
      <c r="E185" s="49">
        <f>180/3</f>
        <v>60</v>
      </c>
      <c r="F185" s="45" t="s">
        <v>3</v>
      </c>
    </row>
    <row r="186" spans="3:8" ht="20" hidden="1" customHeight="1" x14ac:dyDescent="0.2">
      <c r="C186" s="47">
        <v>45725</v>
      </c>
      <c r="D186" s="48" t="s">
        <v>535</v>
      </c>
      <c r="E186" s="49">
        <f>180/3</f>
        <v>60</v>
      </c>
      <c r="F186" s="45" t="s">
        <v>11</v>
      </c>
    </row>
    <row r="187" spans="3:8" ht="20" hidden="1" customHeight="1" x14ac:dyDescent="0.2">
      <c r="C187" s="47">
        <v>45726</v>
      </c>
      <c r="D187" s="48" t="s">
        <v>554</v>
      </c>
      <c r="E187" s="49">
        <v>-10000</v>
      </c>
      <c r="F187" s="45" t="s">
        <v>11</v>
      </c>
    </row>
    <row r="188" spans="3:8" ht="20" hidden="1" customHeight="1" x14ac:dyDescent="0.2">
      <c r="C188" s="47">
        <v>45726</v>
      </c>
      <c r="D188" s="48" t="s">
        <v>536</v>
      </c>
      <c r="E188" s="49">
        <f>74/3</f>
        <v>24.666666666666668</v>
      </c>
      <c r="F188" s="45" t="s">
        <v>3</v>
      </c>
    </row>
    <row r="189" spans="3:8" ht="20" hidden="1" customHeight="1" x14ac:dyDescent="0.2">
      <c r="C189" s="47">
        <v>45726</v>
      </c>
      <c r="D189" s="48" t="s">
        <v>536</v>
      </c>
      <c r="E189" s="49">
        <f>74/3</f>
        <v>24.666666666666668</v>
      </c>
      <c r="F189" s="45" t="s">
        <v>11</v>
      </c>
    </row>
    <row r="190" spans="3:8" ht="20" hidden="1" customHeight="1" x14ac:dyDescent="0.2">
      <c r="C190" s="47">
        <v>45727</v>
      </c>
      <c r="D190" s="48" t="s">
        <v>537</v>
      </c>
      <c r="E190" s="49">
        <f>173/2</f>
        <v>86.5</v>
      </c>
      <c r="F190" s="45" t="s">
        <v>3</v>
      </c>
      <c r="H190" s="45" t="s">
        <v>485</v>
      </c>
    </row>
    <row r="191" spans="3:8" ht="20" hidden="1" customHeight="1" x14ac:dyDescent="0.2">
      <c r="C191" s="47">
        <v>45728</v>
      </c>
      <c r="D191" s="48" t="s">
        <v>536</v>
      </c>
      <c r="E191" s="49">
        <f>81/3</f>
        <v>27</v>
      </c>
      <c r="F191" s="45" t="s">
        <v>3</v>
      </c>
    </row>
    <row r="192" spans="3:8" ht="20" hidden="1" customHeight="1" x14ac:dyDescent="0.2">
      <c r="C192" s="47">
        <v>45728</v>
      </c>
      <c r="D192" s="48" t="s">
        <v>536</v>
      </c>
      <c r="E192" s="49">
        <f>81/3</f>
        <v>27</v>
      </c>
      <c r="F192" s="45" t="s">
        <v>11</v>
      </c>
    </row>
    <row r="193" spans="3:8" ht="20" hidden="1" customHeight="1" x14ac:dyDescent="0.2">
      <c r="C193" s="47">
        <v>45733</v>
      </c>
      <c r="D193" s="48" t="s">
        <v>536</v>
      </c>
      <c r="E193" s="49">
        <f>78/3</f>
        <v>26</v>
      </c>
      <c r="F193" s="45" t="s">
        <v>3</v>
      </c>
      <c r="H193" s="45" t="s">
        <v>485</v>
      </c>
    </row>
    <row r="194" spans="3:8" ht="20" hidden="1" customHeight="1" x14ac:dyDescent="0.2">
      <c r="C194" s="47">
        <v>45733</v>
      </c>
      <c r="D194" s="48" t="s">
        <v>536</v>
      </c>
      <c r="E194" s="49">
        <f>78/3</f>
        <v>26</v>
      </c>
      <c r="F194" s="45" t="s">
        <v>11</v>
      </c>
      <c r="H194" s="45" t="s">
        <v>485</v>
      </c>
    </row>
    <row r="195" spans="3:8" ht="20" hidden="1" customHeight="1" x14ac:dyDescent="0.2">
      <c r="C195" s="47">
        <v>45734</v>
      </c>
      <c r="D195" s="48" t="s">
        <v>502</v>
      </c>
      <c r="E195" s="49">
        <f>8210/3</f>
        <v>2736.6666666666665</v>
      </c>
      <c r="F195" s="45" t="s">
        <v>11</v>
      </c>
    </row>
    <row r="196" spans="3:8" ht="20" hidden="1" customHeight="1" x14ac:dyDescent="0.2">
      <c r="C196" s="47">
        <v>45734</v>
      </c>
      <c r="D196" s="48" t="s">
        <v>502</v>
      </c>
      <c r="E196" s="49">
        <f>8210/3</f>
        <v>2736.6666666666665</v>
      </c>
      <c r="F196" s="45" t="s">
        <v>3</v>
      </c>
    </row>
    <row r="197" spans="3:8" ht="20" hidden="1" customHeight="1" x14ac:dyDescent="0.2">
      <c r="C197" s="47">
        <v>45734</v>
      </c>
      <c r="D197" s="48" t="s">
        <v>536</v>
      </c>
      <c r="E197" s="49">
        <f>74/3</f>
        <v>24.666666666666668</v>
      </c>
      <c r="F197" s="45" t="s">
        <v>3</v>
      </c>
      <c r="H197" s="45" t="s">
        <v>485</v>
      </c>
    </row>
    <row r="198" spans="3:8" ht="20" hidden="1" customHeight="1" x14ac:dyDescent="0.2">
      <c r="C198" s="47">
        <v>45734</v>
      </c>
      <c r="D198" s="48" t="s">
        <v>536</v>
      </c>
      <c r="E198" s="49">
        <f>74/3</f>
        <v>24.666666666666668</v>
      </c>
      <c r="F198" s="45" t="s">
        <v>11</v>
      </c>
      <c r="H198" s="45" t="s">
        <v>485</v>
      </c>
    </row>
    <row r="199" spans="3:8" ht="20" hidden="1" customHeight="1" x14ac:dyDescent="0.2">
      <c r="C199" s="47">
        <v>45735</v>
      </c>
      <c r="D199" s="48" t="s">
        <v>536</v>
      </c>
      <c r="E199" s="49">
        <f>68/3</f>
        <v>22.666666666666668</v>
      </c>
      <c r="F199" s="45" t="s">
        <v>3</v>
      </c>
      <c r="H199" s="45" t="s">
        <v>485</v>
      </c>
    </row>
    <row r="200" spans="3:8" ht="20" hidden="1" customHeight="1" x14ac:dyDescent="0.2">
      <c r="C200" s="47">
        <v>45735</v>
      </c>
      <c r="D200" s="48" t="s">
        <v>536</v>
      </c>
      <c r="E200" s="49">
        <f>68/3</f>
        <v>22.666666666666668</v>
      </c>
      <c r="F200" s="45" t="s">
        <v>11</v>
      </c>
      <c r="H200" s="45" t="s">
        <v>485</v>
      </c>
    </row>
    <row r="201" spans="3:8" ht="20" hidden="1" customHeight="1" x14ac:dyDescent="0.2">
      <c r="C201" s="47">
        <v>45736</v>
      </c>
      <c r="D201" s="48" t="s">
        <v>536</v>
      </c>
      <c r="E201" s="49">
        <f>75/3</f>
        <v>25</v>
      </c>
      <c r="F201" s="45" t="s">
        <v>3</v>
      </c>
      <c r="H201" s="45" t="s">
        <v>485</v>
      </c>
    </row>
    <row r="202" spans="3:8" ht="20" hidden="1" customHeight="1" x14ac:dyDescent="0.2">
      <c r="C202" s="47">
        <v>45736</v>
      </c>
      <c r="D202" s="48" t="s">
        <v>536</v>
      </c>
      <c r="E202" s="49">
        <f>75/3</f>
        <v>25</v>
      </c>
      <c r="F202" s="45" t="s">
        <v>11</v>
      </c>
      <c r="H202" s="45" t="s">
        <v>485</v>
      </c>
    </row>
    <row r="203" spans="3:8" ht="20" hidden="1" customHeight="1" x14ac:dyDescent="0.2">
      <c r="C203" s="47">
        <v>45737</v>
      </c>
      <c r="D203" s="48" t="s">
        <v>538</v>
      </c>
      <c r="E203" s="49">
        <f>270/3</f>
        <v>90</v>
      </c>
      <c r="F203" s="45" t="s">
        <v>3</v>
      </c>
    </row>
    <row r="204" spans="3:8" ht="20" hidden="1" customHeight="1" x14ac:dyDescent="0.2">
      <c r="C204" s="47">
        <v>45737</v>
      </c>
      <c r="D204" s="48" t="s">
        <v>538</v>
      </c>
      <c r="E204" s="49">
        <f>270/3</f>
        <v>90</v>
      </c>
      <c r="F204" s="45" t="s">
        <v>11</v>
      </c>
    </row>
    <row r="205" spans="3:8" ht="20" hidden="1" customHeight="1" x14ac:dyDescent="0.2">
      <c r="C205" s="47">
        <v>45737</v>
      </c>
      <c r="D205" s="48" t="s">
        <v>536</v>
      </c>
      <c r="E205" s="49">
        <f>66/3</f>
        <v>22</v>
      </c>
      <c r="F205" s="45" t="s">
        <v>3</v>
      </c>
      <c r="H205" s="45" t="s">
        <v>485</v>
      </c>
    </row>
    <row r="206" spans="3:8" ht="20" hidden="1" customHeight="1" x14ac:dyDescent="0.2">
      <c r="C206" s="47">
        <v>45737</v>
      </c>
      <c r="D206" s="48" t="s">
        <v>536</v>
      </c>
      <c r="E206" s="49">
        <f>66/3</f>
        <v>22</v>
      </c>
      <c r="F206" s="45" t="s">
        <v>11</v>
      </c>
      <c r="H206" s="45" t="s">
        <v>485</v>
      </c>
    </row>
    <row r="207" spans="3:8" ht="20" hidden="1" customHeight="1" x14ac:dyDescent="0.2">
      <c r="C207" s="47">
        <v>45738</v>
      </c>
      <c r="D207" s="48" t="s">
        <v>539</v>
      </c>
      <c r="E207" s="49">
        <f>459/2</f>
        <v>229.5</v>
      </c>
      <c r="F207" s="45" t="s">
        <v>3</v>
      </c>
    </row>
    <row r="208" spans="3:8" ht="20" hidden="1" customHeight="1" x14ac:dyDescent="0.2">
      <c r="C208" s="47">
        <v>45739</v>
      </c>
      <c r="D208" s="48" t="s">
        <v>540</v>
      </c>
      <c r="E208" s="49">
        <f>1478/3</f>
        <v>492.66666666666669</v>
      </c>
      <c r="F208" s="45" t="s">
        <v>3</v>
      </c>
    </row>
    <row r="209" spans="3:8" ht="20" hidden="1" customHeight="1" x14ac:dyDescent="0.2">
      <c r="C209" s="47">
        <v>45739</v>
      </c>
      <c r="D209" s="48" t="s">
        <v>540</v>
      </c>
      <c r="E209" s="49">
        <f>1478/3</f>
        <v>492.66666666666669</v>
      </c>
      <c r="F209" s="45" t="s">
        <v>493</v>
      </c>
    </row>
    <row r="210" spans="3:8" ht="20" hidden="1" customHeight="1" x14ac:dyDescent="0.2">
      <c r="C210" s="47">
        <v>45740</v>
      </c>
      <c r="D210" s="48" t="s">
        <v>536</v>
      </c>
      <c r="E210" s="49">
        <f>69/3</f>
        <v>23</v>
      </c>
      <c r="F210" s="45" t="s">
        <v>3</v>
      </c>
      <c r="H210" s="45" t="s">
        <v>485</v>
      </c>
    </row>
    <row r="211" spans="3:8" ht="20" hidden="1" customHeight="1" x14ac:dyDescent="0.2">
      <c r="C211" s="47">
        <v>45740</v>
      </c>
      <c r="D211" s="48" t="s">
        <v>536</v>
      </c>
      <c r="E211" s="49">
        <f>69/3</f>
        <v>23</v>
      </c>
      <c r="F211" s="45" t="s">
        <v>11</v>
      </c>
      <c r="H211" s="45" t="s">
        <v>485</v>
      </c>
    </row>
    <row r="212" spans="3:8" ht="20" hidden="1" customHeight="1" x14ac:dyDescent="0.2">
      <c r="C212" s="47">
        <v>45741</v>
      </c>
      <c r="D212" s="48" t="s">
        <v>536</v>
      </c>
      <c r="E212" s="49">
        <f>69/3</f>
        <v>23</v>
      </c>
      <c r="F212" s="45" t="s">
        <v>3</v>
      </c>
      <c r="H212" s="45" t="s">
        <v>485</v>
      </c>
    </row>
    <row r="213" spans="3:8" ht="20" hidden="1" customHeight="1" x14ac:dyDescent="0.2">
      <c r="C213" s="47">
        <v>45741</v>
      </c>
      <c r="D213" s="48" t="s">
        <v>536</v>
      </c>
      <c r="E213" s="49">
        <f>69/3</f>
        <v>23</v>
      </c>
      <c r="F213" s="45" t="s">
        <v>11</v>
      </c>
      <c r="H213" s="45" t="s">
        <v>485</v>
      </c>
    </row>
    <row r="214" spans="3:8" ht="20" hidden="1" customHeight="1" x14ac:dyDescent="0.2">
      <c r="C214" s="47">
        <v>45742</v>
      </c>
      <c r="D214" s="48" t="s">
        <v>536</v>
      </c>
      <c r="E214" s="49">
        <f>71/3</f>
        <v>23.666666666666668</v>
      </c>
      <c r="F214" s="45" t="s">
        <v>3</v>
      </c>
      <c r="H214" s="45" t="s">
        <v>485</v>
      </c>
    </row>
    <row r="215" spans="3:8" ht="20" hidden="1" customHeight="1" x14ac:dyDescent="0.2">
      <c r="C215" s="47">
        <v>45742</v>
      </c>
      <c r="D215" s="48" t="s">
        <v>536</v>
      </c>
      <c r="E215" s="49">
        <f>71/3</f>
        <v>23.666666666666668</v>
      </c>
      <c r="F215" s="45" t="s">
        <v>11</v>
      </c>
      <c r="H215" s="45" t="s">
        <v>485</v>
      </c>
    </row>
    <row r="216" spans="3:8" ht="20" hidden="1" customHeight="1" x14ac:dyDescent="0.2">
      <c r="C216" s="47">
        <v>45743</v>
      </c>
      <c r="D216" s="48" t="s">
        <v>536</v>
      </c>
      <c r="E216" s="49">
        <f>66/3</f>
        <v>22</v>
      </c>
      <c r="F216" s="45" t="s">
        <v>3</v>
      </c>
      <c r="H216" s="45" t="s">
        <v>485</v>
      </c>
    </row>
    <row r="217" spans="3:8" ht="20" hidden="1" customHeight="1" x14ac:dyDescent="0.2">
      <c r="C217" s="47">
        <v>45743</v>
      </c>
      <c r="D217" s="48" t="s">
        <v>536</v>
      </c>
      <c r="E217" s="49">
        <f>66/3</f>
        <v>22</v>
      </c>
      <c r="F217" s="45" t="s">
        <v>11</v>
      </c>
      <c r="H217" s="45" t="s">
        <v>485</v>
      </c>
    </row>
    <row r="218" spans="3:8" ht="20" hidden="1" customHeight="1" x14ac:dyDescent="0.2">
      <c r="C218" s="47">
        <v>45744</v>
      </c>
      <c r="D218" s="48" t="s">
        <v>536</v>
      </c>
      <c r="E218" s="49">
        <f>63/3</f>
        <v>21</v>
      </c>
      <c r="F218" s="45" t="s">
        <v>3</v>
      </c>
      <c r="H218" s="45" t="s">
        <v>485</v>
      </c>
    </row>
    <row r="219" spans="3:8" ht="20" hidden="1" customHeight="1" x14ac:dyDescent="0.2">
      <c r="C219" s="47">
        <v>45744</v>
      </c>
      <c r="D219" s="48" t="s">
        <v>536</v>
      </c>
      <c r="E219" s="49">
        <f>63/3</f>
        <v>21</v>
      </c>
      <c r="F219" s="45" t="s">
        <v>11</v>
      </c>
      <c r="H219" s="45" t="s">
        <v>485</v>
      </c>
    </row>
    <row r="220" spans="3:8" ht="20" hidden="1" customHeight="1" x14ac:dyDescent="0.2">
      <c r="C220" s="47">
        <v>45744</v>
      </c>
      <c r="D220" s="48" t="s">
        <v>542</v>
      </c>
      <c r="E220" s="49">
        <f>895/4</f>
        <v>223.75</v>
      </c>
      <c r="F220" s="45" t="s">
        <v>3</v>
      </c>
    </row>
    <row r="221" spans="3:8" ht="20" hidden="1" customHeight="1" x14ac:dyDescent="0.2">
      <c r="C221" s="47">
        <v>45744</v>
      </c>
      <c r="D221" s="48" t="s">
        <v>542</v>
      </c>
      <c r="E221" s="49">
        <f>895/4</f>
        <v>223.75</v>
      </c>
      <c r="F221" s="45" t="s">
        <v>11</v>
      </c>
    </row>
    <row r="222" spans="3:8" ht="20" hidden="1" customHeight="1" x14ac:dyDescent="0.2">
      <c r="C222" s="47">
        <v>45744</v>
      </c>
      <c r="D222" s="48" t="s">
        <v>542</v>
      </c>
      <c r="E222" s="49">
        <f>895/4</f>
        <v>223.75</v>
      </c>
      <c r="F222" s="45" t="s">
        <v>541</v>
      </c>
    </row>
    <row r="223" spans="3:8" ht="20" hidden="1" customHeight="1" x14ac:dyDescent="0.2">
      <c r="C223" s="47">
        <v>45744</v>
      </c>
      <c r="D223" s="48" t="s">
        <v>543</v>
      </c>
      <c r="E223" s="49">
        <f>895/2</f>
        <v>447.5</v>
      </c>
      <c r="F223" s="45" t="s">
        <v>541</v>
      </c>
    </row>
    <row r="224" spans="3:8" ht="20" hidden="1" customHeight="1" x14ac:dyDescent="0.2">
      <c r="C224" s="47">
        <v>45744</v>
      </c>
      <c r="D224" s="48" t="s">
        <v>544</v>
      </c>
      <c r="E224" s="49">
        <f>350/3</f>
        <v>116.66666666666667</v>
      </c>
      <c r="F224" s="45" t="s">
        <v>3</v>
      </c>
    </row>
    <row r="225" spans="3:6" ht="20" hidden="1" customHeight="1" x14ac:dyDescent="0.2">
      <c r="C225" s="47">
        <v>45744</v>
      </c>
      <c r="D225" s="48" t="s">
        <v>544</v>
      </c>
      <c r="E225" s="49">
        <f>350/3</f>
        <v>116.66666666666667</v>
      </c>
      <c r="F225" s="45" t="s">
        <v>11</v>
      </c>
    </row>
    <row r="226" spans="3:6" ht="20" hidden="1" customHeight="1" x14ac:dyDescent="0.2">
      <c r="C226" s="47">
        <v>45745</v>
      </c>
      <c r="D226" s="48" t="s">
        <v>545</v>
      </c>
      <c r="E226" s="49">
        <f>2938/4</f>
        <v>734.5</v>
      </c>
      <c r="F226" s="45" t="s">
        <v>3</v>
      </c>
    </row>
    <row r="227" spans="3:6" ht="20" hidden="1" customHeight="1" x14ac:dyDescent="0.2">
      <c r="C227" s="47">
        <v>45745</v>
      </c>
      <c r="D227" s="48" t="s">
        <v>545</v>
      </c>
      <c r="E227" s="49">
        <f>2938/4</f>
        <v>734.5</v>
      </c>
      <c r="F227" s="45" t="s">
        <v>11</v>
      </c>
    </row>
    <row r="228" spans="3:6" ht="20" hidden="1" customHeight="1" x14ac:dyDescent="0.2">
      <c r="C228" s="47">
        <v>45745</v>
      </c>
      <c r="D228" s="48" t="s">
        <v>545</v>
      </c>
      <c r="E228" s="49">
        <f>2938/4</f>
        <v>734.5</v>
      </c>
      <c r="F228" s="45" t="s">
        <v>541</v>
      </c>
    </row>
    <row r="229" spans="3:6" ht="20" hidden="1" customHeight="1" x14ac:dyDescent="0.2">
      <c r="C229" s="47">
        <v>45745</v>
      </c>
      <c r="D229" s="48" t="s">
        <v>546</v>
      </c>
      <c r="E229" s="49">
        <f>1036/4</f>
        <v>259</v>
      </c>
      <c r="F229" s="45" t="s">
        <v>3</v>
      </c>
    </row>
    <row r="230" spans="3:6" ht="20" hidden="1" customHeight="1" x14ac:dyDescent="0.2">
      <c r="C230" s="47">
        <v>45745</v>
      </c>
      <c r="D230" s="48" t="s">
        <v>546</v>
      </c>
      <c r="E230" s="49">
        <f>1036/4</f>
        <v>259</v>
      </c>
      <c r="F230" s="45" t="s">
        <v>11</v>
      </c>
    </row>
    <row r="231" spans="3:6" ht="20" hidden="1" customHeight="1" x14ac:dyDescent="0.2">
      <c r="C231" s="47">
        <v>45745</v>
      </c>
      <c r="D231" s="48" t="s">
        <v>546</v>
      </c>
      <c r="E231" s="49">
        <f>1036/4</f>
        <v>259</v>
      </c>
      <c r="F231" s="45" t="s">
        <v>541</v>
      </c>
    </row>
    <row r="232" spans="3:6" ht="20" hidden="1" customHeight="1" x14ac:dyDescent="0.2">
      <c r="C232" s="47">
        <v>45745</v>
      </c>
      <c r="D232" s="48" t="s">
        <v>547</v>
      </c>
      <c r="E232" s="49">
        <f>631/4</f>
        <v>157.75</v>
      </c>
      <c r="F232" s="45" t="s">
        <v>3</v>
      </c>
    </row>
    <row r="233" spans="3:6" ht="20" hidden="1" customHeight="1" x14ac:dyDescent="0.2">
      <c r="C233" s="47">
        <v>45745</v>
      </c>
      <c r="D233" s="48" t="s">
        <v>547</v>
      </c>
      <c r="E233" s="49">
        <f>631/4</f>
        <v>157.75</v>
      </c>
      <c r="F233" s="45" t="s">
        <v>11</v>
      </c>
    </row>
    <row r="234" spans="3:6" ht="20" hidden="1" customHeight="1" x14ac:dyDescent="0.2">
      <c r="C234" s="47">
        <v>45745</v>
      </c>
      <c r="D234" s="48" t="s">
        <v>547</v>
      </c>
      <c r="E234" s="49">
        <f>631/4</f>
        <v>157.75</v>
      </c>
      <c r="F234" s="45" t="s">
        <v>541</v>
      </c>
    </row>
    <row r="235" spans="3:6" ht="20" hidden="1" customHeight="1" x14ac:dyDescent="0.2">
      <c r="C235" s="47">
        <v>45746</v>
      </c>
      <c r="D235" s="48" t="s">
        <v>548</v>
      </c>
      <c r="E235" s="49">
        <f>625/4</f>
        <v>156.25</v>
      </c>
      <c r="F235" s="45" t="s">
        <v>3</v>
      </c>
    </row>
    <row r="236" spans="3:6" ht="20" hidden="1" customHeight="1" x14ac:dyDescent="0.2">
      <c r="C236" s="47">
        <v>45746</v>
      </c>
      <c r="D236" s="48" t="s">
        <v>548</v>
      </c>
      <c r="E236" s="49">
        <f>625/4</f>
        <v>156.25</v>
      </c>
      <c r="F236" s="45" t="s">
        <v>11</v>
      </c>
    </row>
    <row r="237" spans="3:6" ht="20" hidden="1" customHeight="1" x14ac:dyDescent="0.2">
      <c r="C237" s="47">
        <v>45746</v>
      </c>
      <c r="D237" s="48" t="s">
        <v>548</v>
      </c>
      <c r="E237" s="49">
        <f>625/4</f>
        <v>156.25</v>
      </c>
      <c r="F237" s="45" t="s">
        <v>541</v>
      </c>
    </row>
    <row r="238" spans="3:6" ht="20" hidden="1" customHeight="1" x14ac:dyDescent="0.2">
      <c r="C238" s="47">
        <v>45746</v>
      </c>
      <c r="D238" s="48" t="s">
        <v>549</v>
      </c>
      <c r="E238" s="49">
        <f>543/4</f>
        <v>135.75</v>
      </c>
      <c r="F238" s="45" t="s">
        <v>3</v>
      </c>
    </row>
    <row r="239" spans="3:6" ht="20" hidden="1" customHeight="1" x14ac:dyDescent="0.2">
      <c r="C239" s="47">
        <v>45746</v>
      </c>
      <c r="D239" s="48" t="s">
        <v>549</v>
      </c>
      <c r="E239" s="49">
        <f>543/4</f>
        <v>135.75</v>
      </c>
      <c r="F239" s="45" t="s">
        <v>11</v>
      </c>
    </row>
    <row r="240" spans="3:6" ht="20" hidden="1" customHeight="1" x14ac:dyDescent="0.2">
      <c r="C240" s="47">
        <v>45746</v>
      </c>
      <c r="D240" s="48" t="s">
        <v>549</v>
      </c>
      <c r="E240" s="49">
        <f>543/4</f>
        <v>135.75</v>
      </c>
      <c r="F240" s="45" t="s">
        <v>541</v>
      </c>
    </row>
    <row r="241" spans="3:8" ht="20" hidden="1" customHeight="1" x14ac:dyDescent="0.2">
      <c r="C241" s="47">
        <v>45746</v>
      </c>
      <c r="D241" s="48" t="s">
        <v>550</v>
      </c>
      <c r="E241" s="49">
        <f>693/3</f>
        <v>231</v>
      </c>
      <c r="F241" s="45" t="s">
        <v>541</v>
      </c>
    </row>
    <row r="242" spans="3:8" ht="20" hidden="1" customHeight="1" x14ac:dyDescent="0.2">
      <c r="C242" s="47">
        <v>45746</v>
      </c>
      <c r="D242" s="48" t="s">
        <v>550</v>
      </c>
      <c r="E242" s="49">
        <f>693/3</f>
        <v>231</v>
      </c>
      <c r="F242" s="45" t="s">
        <v>3</v>
      </c>
    </row>
    <row r="243" spans="3:8" ht="20" hidden="1" customHeight="1" x14ac:dyDescent="0.2">
      <c r="C243" s="47">
        <v>45747</v>
      </c>
      <c r="D243" s="48" t="s">
        <v>551</v>
      </c>
      <c r="E243" s="49">
        <f>370/4</f>
        <v>92.5</v>
      </c>
      <c r="F243" s="45" t="s">
        <v>3</v>
      </c>
    </row>
    <row r="244" spans="3:8" ht="20" hidden="1" customHeight="1" x14ac:dyDescent="0.2">
      <c r="C244" s="47">
        <v>45747</v>
      </c>
      <c r="D244" s="48" t="s">
        <v>551</v>
      </c>
      <c r="E244" s="49">
        <f>370/4</f>
        <v>92.5</v>
      </c>
      <c r="F244" s="45" t="s">
        <v>11</v>
      </c>
    </row>
    <row r="245" spans="3:8" ht="20" hidden="1" customHeight="1" x14ac:dyDescent="0.2">
      <c r="C245" s="47">
        <v>45747</v>
      </c>
      <c r="D245" s="48" t="s">
        <v>551</v>
      </c>
      <c r="E245" s="49">
        <f>370/4</f>
        <v>92.5</v>
      </c>
      <c r="F245" s="45" t="s">
        <v>541</v>
      </c>
    </row>
    <row r="246" spans="3:8" ht="20" hidden="1" customHeight="1" x14ac:dyDescent="0.2">
      <c r="C246" s="47">
        <v>45747</v>
      </c>
      <c r="D246" s="48" t="s">
        <v>552</v>
      </c>
      <c r="E246" s="49">
        <f>148/4</f>
        <v>37</v>
      </c>
      <c r="F246" s="45" t="s">
        <v>3</v>
      </c>
    </row>
    <row r="247" spans="3:8" ht="20" hidden="1" customHeight="1" x14ac:dyDescent="0.2">
      <c r="C247" s="47">
        <v>45747</v>
      </c>
      <c r="D247" s="48" t="s">
        <v>552</v>
      </c>
      <c r="E247" s="49">
        <f>148/4</f>
        <v>37</v>
      </c>
      <c r="F247" s="45" t="s">
        <v>11</v>
      </c>
    </row>
    <row r="248" spans="3:8" ht="20" hidden="1" customHeight="1" x14ac:dyDescent="0.2">
      <c r="C248" s="47">
        <v>45747</v>
      </c>
      <c r="D248" s="48" t="s">
        <v>552</v>
      </c>
      <c r="E248" s="49">
        <f>148/4</f>
        <v>37</v>
      </c>
      <c r="F248" s="45" t="s">
        <v>541</v>
      </c>
    </row>
    <row r="249" spans="3:8" ht="20" hidden="1" customHeight="1" x14ac:dyDescent="0.2">
      <c r="C249" s="47">
        <v>45747</v>
      </c>
      <c r="D249" s="48" t="s">
        <v>553</v>
      </c>
      <c r="E249" s="49">
        <f>260/2</f>
        <v>130</v>
      </c>
      <c r="F249" s="45" t="s">
        <v>541</v>
      </c>
    </row>
    <row r="250" spans="3:8" ht="20" hidden="1" customHeight="1" x14ac:dyDescent="0.2">
      <c r="C250" s="47">
        <v>45748</v>
      </c>
      <c r="D250" s="48" t="s">
        <v>536</v>
      </c>
      <c r="E250" s="49">
        <f>69/3</f>
        <v>23</v>
      </c>
      <c r="F250" s="45" t="s">
        <v>3</v>
      </c>
      <c r="H250" s="45" t="s">
        <v>485</v>
      </c>
    </row>
    <row r="251" spans="3:8" ht="20" hidden="1" customHeight="1" x14ac:dyDescent="0.2">
      <c r="C251" s="47">
        <v>45748</v>
      </c>
      <c r="D251" s="48" t="s">
        <v>536</v>
      </c>
      <c r="E251" s="49">
        <f>69/3</f>
        <v>23</v>
      </c>
      <c r="F251" s="45" t="s">
        <v>11</v>
      </c>
      <c r="H251" s="45" t="s">
        <v>485</v>
      </c>
    </row>
    <row r="252" spans="3:8" ht="20" hidden="1" customHeight="1" x14ac:dyDescent="0.2">
      <c r="C252" s="47">
        <v>45749</v>
      </c>
      <c r="D252" s="48" t="s">
        <v>524</v>
      </c>
      <c r="E252" s="49">
        <v>499.56</v>
      </c>
      <c r="F252" s="45" t="s">
        <v>3</v>
      </c>
    </row>
    <row r="253" spans="3:8" ht="20" hidden="1" customHeight="1" x14ac:dyDescent="0.2">
      <c r="C253" s="47">
        <v>45749</v>
      </c>
      <c r="D253" s="48" t="s">
        <v>536</v>
      </c>
      <c r="E253" s="49">
        <f>62/3</f>
        <v>20.666666666666668</v>
      </c>
      <c r="F253" s="45" t="s">
        <v>3</v>
      </c>
      <c r="H253" s="45" t="s">
        <v>485</v>
      </c>
    </row>
    <row r="254" spans="3:8" ht="20" hidden="1" customHeight="1" x14ac:dyDescent="0.2">
      <c r="C254" s="47">
        <v>45749</v>
      </c>
      <c r="D254" s="48" t="s">
        <v>536</v>
      </c>
      <c r="E254" s="49">
        <f>62/3</f>
        <v>20.666666666666668</v>
      </c>
      <c r="F254" s="45" t="s">
        <v>11</v>
      </c>
      <c r="H254" s="45" t="s">
        <v>485</v>
      </c>
    </row>
    <row r="255" spans="3:8" ht="20" hidden="1" customHeight="1" x14ac:dyDescent="0.2">
      <c r="C255" s="47">
        <v>45750</v>
      </c>
      <c r="D255" s="48" t="s">
        <v>536</v>
      </c>
      <c r="E255" s="49">
        <f>63/3</f>
        <v>21</v>
      </c>
      <c r="F255" s="45" t="s">
        <v>3</v>
      </c>
      <c r="H255" s="45" t="s">
        <v>485</v>
      </c>
    </row>
    <row r="256" spans="3:8" ht="20" hidden="1" customHeight="1" x14ac:dyDescent="0.2">
      <c r="C256" s="47">
        <v>45750</v>
      </c>
      <c r="D256" s="48" t="s">
        <v>536</v>
      </c>
      <c r="E256" s="49">
        <f>63/3</f>
        <v>21</v>
      </c>
      <c r="F256" s="45" t="s">
        <v>11</v>
      </c>
      <c r="H256" s="45" t="s">
        <v>485</v>
      </c>
    </row>
    <row r="257" spans="3:8" ht="20" hidden="1" customHeight="1" x14ac:dyDescent="0.2">
      <c r="C257" s="47">
        <v>45751</v>
      </c>
      <c r="D257" s="48" t="s">
        <v>536</v>
      </c>
      <c r="E257" s="49">
        <f>64/3</f>
        <v>21.333333333333332</v>
      </c>
      <c r="F257" s="45" t="s">
        <v>3</v>
      </c>
      <c r="H257" s="45" t="s">
        <v>485</v>
      </c>
    </row>
    <row r="258" spans="3:8" ht="20" hidden="1" customHeight="1" x14ac:dyDescent="0.2">
      <c r="C258" s="47">
        <v>45751</v>
      </c>
      <c r="D258" s="48" t="s">
        <v>536</v>
      </c>
      <c r="E258" s="49">
        <f>64/3</f>
        <v>21.333333333333332</v>
      </c>
      <c r="F258" s="45" t="s">
        <v>11</v>
      </c>
      <c r="H258" s="45" t="s">
        <v>485</v>
      </c>
    </row>
    <row r="259" spans="3:8" ht="20" hidden="1" customHeight="1" x14ac:dyDescent="0.2">
      <c r="C259" s="47">
        <v>45752</v>
      </c>
      <c r="D259" s="48" t="s">
        <v>560</v>
      </c>
      <c r="E259" s="49">
        <v>40</v>
      </c>
      <c r="F259" s="45" t="s">
        <v>11</v>
      </c>
    </row>
    <row r="260" spans="3:8" ht="20" hidden="1" customHeight="1" x14ac:dyDescent="0.2">
      <c r="C260" s="47">
        <v>45752</v>
      </c>
      <c r="D260" s="48" t="s">
        <v>560</v>
      </c>
      <c r="E260" s="49">
        <v>60</v>
      </c>
      <c r="F260" s="45" t="s">
        <v>3</v>
      </c>
    </row>
    <row r="261" spans="3:8" ht="20" hidden="1" customHeight="1" x14ac:dyDescent="0.2">
      <c r="C261" s="47">
        <v>45752</v>
      </c>
      <c r="D261" s="48" t="s">
        <v>561</v>
      </c>
      <c r="E261" s="49">
        <f>131/3</f>
        <v>43.666666666666664</v>
      </c>
      <c r="F261" s="45" t="s">
        <v>3</v>
      </c>
    </row>
    <row r="262" spans="3:8" ht="20" hidden="1" customHeight="1" x14ac:dyDescent="0.2">
      <c r="C262" s="47">
        <v>45752</v>
      </c>
      <c r="D262" s="48" t="s">
        <v>561</v>
      </c>
      <c r="E262" s="49">
        <f>131/3</f>
        <v>43.666666666666664</v>
      </c>
      <c r="F262" s="45" t="s">
        <v>11</v>
      </c>
    </row>
    <row r="263" spans="3:8" ht="20" hidden="1" customHeight="1" x14ac:dyDescent="0.2">
      <c r="C263" s="47">
        <v>45752</v>
      </c>
      <c r="D263" s="48" t="s">
        <v>562</v>
      </c>
      <c r="E263" s="49">
        <f>352/2</f>
        <v>176</v>
      </c>
      <c r="F263" s="45" t="s">
        <v>3</v>
      </c>
    </row>
    <row r="264" spans="3:8" ht="20" hidden="1" customHeight="1" x14ac:dyDescent="0.2">
      <c r="C264" s="47">
        <v>45752</v>
      </c>
      <c r="D264" s="48" t="s">
        <v>562</v>
      </c>
      <c r="E264" s="49">
        <f>352/2</f>
        <v>176</v>
      </c>
      <c r="F264" s="45" t="s">
        <v>11</v>
      </c>
    </row>
    <row r="265" spans="3:8" ht="20" hidden="1" customHeight="1" x14ac:dyDescent="0.2">
      <c r="C265" s="47">
        <v>45753</v>
      </c>
      <c r="D265" s="48" t="s">
        <v>563</v>
      </c>
      <c r="E265" s="49">
        <f>(825+186)/4</f>
        <v>252.75</v>
      </c>
      <c r="F265" s="45" t="s">
        <v>3</v>
      </c>
    </row>
    <row r="266" spans="3:8" ht="20" hidden="1" customHeight="1" x14ac:dyDescent="0.2">
      <c r="C266" s="47">
        <v>45753</v>
      </c>
      <c r="D266" s="48" t="s">
        <v>563</v>
      </c>
      <c r="E266" s="49">
        <f>(825+186)/4</f>
        <v>252.75</v>
      </c>
      <c r="F266" s="45" t="s">
        <v>11</v>
      </c>
    </row>
    <row r="267" spans="3:8" ht="20" hidden="1" customHeight="1" x14ac:dyDescent="0.2">
      <c r="C267" s="47">
        <v>45753</v>
      </c>
      <c r="D267" s="48" t="s">
        <v>563</v>
      </c>
      <c r="E267" s="49">
        <f>(825+186)/4</f>
        <v>252.75</v>
      </c>
      <c r="F267" s="45" t="s">
        <v>541</v>
      </c>
    </row>
    <row r="268" spans="3:8" ht="20" hidden="1" customHeight="1" x14ac:dyDescent="0.2">
      <c r="C268" s="47">
        <v>45754</v>
      </c>
      <c r="D268" s="48" t="s">
        <v>536</v>
      </c>
      <c r="E268" s="49">
        <f>61/3</f>
        <v>20.333333333333332</v>
      </c>
      <c r="F268" s="45" t="s">
        <v>3</v>
      </c>
      <c r="H268" s="45" t="s">
        <v>485</v>
      </c>
    </row>
    <row r="269" spans="3:8" ht="20" hidden="1" customHeight="1" x14ac:dyDescent="0.2">
      <c r="C269" s="47">
        <v>45754</v>
      </c>
      <c r="D269" s="48" t="s">
        <v>536</v>
      </c>
      <c r="E269" s="49">
        <f>61/3</f>
        <v>20.333333333333332</v>
      </c>
      <c r="F269" s="45" t="s">
        <v>11</v>
      </c>
      <c r="H269" s="45" t="s">
        <v>485</v>
      </c>
    </row>
    <row r="270" spans="3:8" ht="20" hidden="1" customHeight="1" x14ac:dyDescent="0.2">
      <c r="C270" s="47">
        <v>45754</v>
      </c>
      <c r="D270" s="48" t="s">
        <v>585</v>
      </c>
      <c r="E270" s="49">
        <v>341.45</v>
      </c>
      <c r="F270" s="45" t="s">
        <v>3</v>
      </c>
    </row>
    <row r="271" spans="3:8" ht="20" hidden="1" customHeight="1" x14ac:dyDescent="0.2">
      <c r="C271" s="47">
        <v>45754</v>
      </c>
      <c r="D271" s="48" t="s">
        <v>586</v>
      </c>
      <c r="E271" s="49">
        <v>80</v>
      </c>
      <c r="F271" s="45" t="s">
        <v>3</v>
      </c>
    </row>
    <row r="272" spans="3:8" ht="20" hidden="1" customHeight="1" x14ac:dyDescent="0.2">
      <c r="C272" s="47">
        <v>45754</v>
      </c>
      <c r="D272" s="48" t="s">
        <v>587</v>
      </c>
      <c r="E272" s="49">
        <v>35</v>
      </c>
      <c r="F272" s="45" t="s">
        <v>3</v>
      </c>
    </row>
    <row r="273" spans="3:8" ht="20" hidden="1" customHeight="1" x14ac:dyDescent="0.2">
      <c r="C273" s="47">
        <v>45755</v>
      </c>
      <c r="D273" s="48" t="s">
        <v>565</v>
      </c>
      <c r="E273" s="49">
        <f>67/3+30</f>
        <v>52.333333333333329</v>
      </c>
      <c r="F273" s="45" t="s">
        <v>3</v>
      </c>
    </row>
    <row r="274" spans="3:8" ht="20" hidden="1" customHeight="1" x14ac:dyDescent="0.2">
      <c r="C274" s="47">
        <v>45755</v>
      </c>
      <c r="D274" s="48" t="s">
        <v>565</v>
      </c>
      <c r="E274" s="49">
        <f>67/3+30</f>
        <v>52.333333333333329</v>
      </c>
      <c r="F274" s="45" t="s">
        <v>11</v>
      </c>
    </row>
    <row r="275" spans="3:8" ht="20" hidden="1" customHeight="1" x14ac:dyDescent="0.2">
      <c r="C275" s="47">
        <v>45755</v>
      </c>
      <c r="D275" s="48" t="s">
        <v>564</v>
      </c>
      <c r="E275" s="49">
        <f>240/3</f>
        <v>80</v>
      </c>
      <c r="F275" s="45" t="s">
        <v>3</v>
      </c>
    </row>
    <row r="276" spans="3:8" ht="20" hidden="1" customHeight="1" x14ac:dyDescent="0.2">
      <c r="C276" s="47">
        <v>45755</v>
      </c>
      <c r="D276" s="48" t="s">
        <v>564</v>
      </c>
      <c r="E276" s="49">
        <f>240/3</f>
        <v>80</v>
      </c>
      <c r="F276" s="45" t="s">
        <v>11</v>
      </c>
    </row>
    <row r="277" spans="3:8" ht="20" hidden="1" customHeight="1" x14ac:dyDescent="0.2">
      <c r="C277" s="47">
        <v>45756</v>
      </c>
      <c r="D277" s="48" t="s">
        <v>536</v>
      </c>
      <c r="E277" s="49">
        <f>69/3</f>
        <v>23</v>
      </c>
      <c r="F277" s="45" t="s">
        <v>3</v>
      </c>
      <c r="H277" s="45" t="s">
        <v>485</v>
      </c>
    </row>
    <row r="278" spans="3:8" ht="20" hidden="1" customHeight="1" x14ac:dyDescent="0.2">
      <c r="C278" s="47">
        <v>45756</v>
      </c>
      <c r="D278" s="48" t="s">
        <v>536</v>
      </c>
      <c r="E278" s="49">
        <f>69/3</f>
        <v>23</v>
      </c>
      <c r="F278" s="45" t="s">
        <v>11</v>
      </c>
      <c r="H278" s="45" t="s">
        <v>485</v>
      </c>
    </row>
    <row r="279" spans="3:8" ht="20" hidden="1" customHeight="1" x14ac:dyDescent="0.2">
      <c r="C279" s="47">
        <v>45757</v>
      </c>
      <c r="D279" s="48" t="s">
        <v>554</v>
      </c>
      <c r="E279" s="49">
        <v>-9000</v>
      </c>
      <c r="F279" s="45" t="s">
        <v>3</v>
      </c>
    </row>
    <row r="280" spans="3:8" ht="20" hidden="1" customHeight="1" x14ac:dyDescent="0.2">
      <c r="C280" s="47">
        <v>45757</v>
      </c>
      <c r="D280" s="48" t="s">
        <v>536</v>
      </c>
      <c r="E280" s="49">
        <f>72/3</f>
        <v>24</v>
      </c>
      <c r="F280" s="45" t="s">
        <v>3</v>
      </c>
      <c r="H280" s="45" t="s">
        <v>485</v>
      </c>
    </row>
    <row r="281" spans="3:8" ht="20" hidden="1" customHeight="1" x14ac:dyDescent="0.2">
      <c r="C281" s="47">
        <v>45757</v>
      </c>
      <c r="D281" s="48" t="s">
        <v>536</v>
      </c>
      <c r="E281" s="49">
        <f>72/3</f>
        <v>24</v>
      </c>
      <c r="F281" s="45" t="s">
        <v>11</v>
      </c>
      <c r="H281" s="45" t="s">
        <v>485</v>
      </c>
    </row>
    <row r="282" spans="3:8" ht="20" hidden="1" customHeight="1" x14ac:dyDescent="0.2">
      <c r="C282" s="47">
        <v>45757</v>
      </c>
      <c r="D282" s="48" t="s">
        <v>566</v>
      </c>
      <c r="E282" s="49">
        <f>125/3</f>
        <v>41.666666666666664</v>
      </c>
      <c r="F282" s="45" t="s">
        <v>3</v>
      </c>
    </row>
    <row r="283" spans="3:8" ht="20" hidden="1" customHeight="1" x14ac:dyDescent="0.2">
      <c r="C283" s="47">
        <v>45757</v>
      </c>
      <c r="D283" s="48" t="s">
        <v>566</v>
      </c>
      <c r="E283" s="49">
        <f>125/3</f>
        <v>41.666666666666664</v>
      </c>
      <c r="F283" s="45" t="s">
        <v>11</v>
      </c>
    </row>
    <row r="284" spans="3:8" ht="20" hidden="1" customHeight="1" x14ac:dyDescent="0.2">
      <c r="C284" s="47">
        <v>45758</v>
      </c>
      <c r="D284" s="48" t="s">
        <v>536</v>
      </c>
      <c r="E284" s="49">
        <f>68/3</f>
        <v>22.666666666666668</v>
      </c>
      <c r="F284" s="45" t="s">
        <v>3</v>
      </c>
      <c r="H284" s="45" t="s">
        <v>485</v>
      </c>
    </row>
    <row r="285" spans="3:8" ht="20" hidden="1" customHeight="1" x14ac:dyDescent="0.2">
      <c r="C285" s="47">
        <v>45758</v>
      </c>
      <c r="D285" s="48" t="s">
        <v>536</v>
      </c>
      <c r="E285" s="49">
        <f>68/3</f>
        <v>22.666666666666668</v>
      </c>
      <c r="F285" s="45" t="s">
        <v>11</v>
      </c>
      <c r="H285" s="45" t="s">
        <v>485</v>
      </c>
    </row>
    <row r="286" spans="3:8" ht="20" hidden="1" customHeight="1" x14ac:dyDescent="0.2">
      <c r="C286" s="47">
        <v>45759</v>
      </c>
      <c r="D286" s="48" t="s">
        <v>567</v>
      </c>
      <c r="E286" s="49">
        <f>(382+275)/3</f>
        <v>219</v>
      </c>
      <c r="F286" s="45" t="s">
        <v>3</v>
      </c>
    </row>
    <row r="287" spans="3:8" ht="20" hidden="1" customHeight="1" x14ac:dyDescent="0.2">
      <c r="C287" s="47">
        <v>45759</v>
      </c>
      <c r="D287" s="48" t="s">
        <v>567</v>
      </c>
      <c r="E287" s="49">
        <f>(382+275)/3</f>
        <v>219</v>
      </c>
      <c r="F287" s="45" t="s">
        <v>11</v>
      </c>
    </row>
    <row r="288" spans="3:8" ht="20" hidden="1" customHeight="1" x14ac:dyDescent="0.2">
      <c r="C288" s="47">
        <v>45759</v>
      </c>
      <c r="D288" s="48" t="s">
        <v>568</v>
      </c>
      <c r="E288" s="49">
        <f>(360+180)/3</f>
        <v>180</v>
      </c>
      <c r="F288" s="45" t="s">
        <v>3</v>
      </c>
    </row>
    <row r="289" spans="3:8" ht="20" hidden="1" customHeight="1" x14ac:dyDescent="0.2">
      <c r="C289" s="47">
        <v>45759</v>
      </c>
      <c r="D289" s="48" t="s">
        <v>568</v>
      </c>
      <c r="E289" s="49">
        <f>(360+180)/3</f>
        <v>180</v>
      </c>
      <c r="F289" s="45" t="s">
        <v>11</v>
      </c>
    </row>
    <row r="290" spans="3:8" ht="20" hidden="1" customHeight="1" x14ac:dyDescent="0.2">
      <c r="C290" s="47">
        <v>45761</v>
      </c>
      <c r="D290" s="48" t="s">
        <v>536</v>
      </c>
      <c r="E290" s="49">
        <f>75/3</f>
        <v>25</v>
      </c>
      <c r="F290" s="45" t="s">
        <v>3</v>
      </c>
      <c r="H290" s="45" t="s">
        <v>485</v>
      </c>
    </row>
    <row r="291" spans="3:8" ht="20" hidden="1" customHeight="1" x14ac:dyDescent="0.2">
      <c r="C291" s="47">
        <v>45761</v>
      </c>
      <c r="D291" s="48" t="s">
        <v>536</v>
      </c>
      <c r="E291" s="49">
        <f>75/3</f>
        <v>25</v>
      </c>
      <c r="F291" s="45" t="s">
        <v>11</v>
      </c>
      <c r="H291" s="45" t="s">
        <v>485</v>
      </c>
    </row>
    <row r="292" spans="3:8" ht="20" hidden="1" customHeight="1" x14ac:dyDescent="0.2">
      <c r="C292" s="47">
        <v>45762</v>
      </c>
      <c r="D292" s="48" t="s">
        <v>536</v>
      </c>
      <c r="E292" s="49">
        <f>68/3</f>
        <v>22.666666666666668</v>
      </c>
      <c r="F292" s="45" t="s">
        <v>3</v>
      </c>
      <c r="H292" s="45" t="s">
        <v>485</v>
      </c>
    </row>
    <row r="293" spans="3:8" ht="20" hidden="1" customHeight="1" x14ac:dyDescent="0.2">
      <c r="C293" s="47">
        <v>45762</v>
      </c>
      <c r="D293" s="48" t="s">
        <v>536</v>
      </c>
      <c r="E293" s="49">
        <f>68/3</f>
        <v>22.666666666666668</v>
      </c>
      <c r="F293" s="45" t="s">
        <v>11</v>
      </c>
      <c r="H293" s="45" t="s">
        <v>485</v>
      </c>
    </row>
    <row r="294" spans="3:8" ht="20" hidden="1" customHeight="1" x14ac:dyDescent="0.2">
      <c r="C294" s="47">
        <v>45763</v>
      </c>
      <c r="D294" s="48" t="s">
        <v>536</v>
      </c>
      <c r="E294" s="49">
        <f>72/3</f>
        <v>24</v>
      </c>
      <c r="F294" s="45" t="s">
        <v>3</v>
      </c>
      <c r="H294" s="45" t="s">
        <v>485</v>
      </c>
    </row>
    <row r="295" spans="3:8" ht="20" hidden="1" customHeight="1" x14ac:dyDescent="0.2">
      <c r="C295" s="47">
        <v>45763</v>
      </c>
      <c r="D295" s="48" t="s">
        <v>536</v>
      </c>
      <c r="E295" s="49">
        <f>72/3</f>
        <v>24</v>
      </c>
      <c r="F295" s="45" t="s">
        <v>11</v>
      </c>
      <c r="H295" s="45" t="s">
        <v>485</v>
      </c>
    </row>
    <row r="296" spans="3:8" ht="20" hidden="1" customHeight="1" x14ac:dyDescent="0.2">
      <c r="C296" s="47">
        <v>45764</v>
      </c>
      <c r="D296" s="48" t="s">
        <v>536</v>
      </c>
      <c r="E296" s="49">
        <f>80/3</f>
        <v>26.666666666666668</v>
      </c>
      <c r="F296" s="45" t="s">
        <v>3</v>
      </c>
      <c r="H296" s="45" t="s">
        <v>485</v>
      </c>
    </row>
    <row r="297" spans="3:8" ht="20" hidden="1" customHeight="1" x14ac:dyDescent="0.2">
      <c r="C297" s="47">
        <v>45764</v>
      </c>
      <c r="D297" s="48" t="s">
        <v>536</v>
      </c>
      <c r="E297" s="49">
        <f>80/3</f>
        <v>26.666666666666668</v>
      </c>
      <c r="F297" s="45" t="s">
        <v>11</v>
      </c>
      <c r="H297" s="45" t="s">
        <v>485</v>
      </c>
    </row>
    <row r="298" spans="3:8" ht="20" hidden="1" customHeight="1" x14ac:dyDescent="0.2">
      <c r="C298" s="47">
        <v>45764</v>
      </c>
      <c r="D298" s="48" t="s">
        <v>569</v>
      </c>
      <c r="E298" s="49">
        <f>470/2</f>
        <v>235</v>
      </c>
      <c r="F298" s="45" t="s">
        <v>3</v>
      </c>
    </row>
    <row r="299" spans="3:8" ht="20" hidden="1" customHeight="1" x14ac:dyDescent="0.2">
      <c r="C299" s="47">
        <v>45764</v>
      </c>
      <c r="D299" s="48" t="s">
        <v>570</v>
      </c>
      <c r="E299" s="49">
        <f>1281/3</f>
        <v>427</v>
      </c>
      <c r="F299" s="45" t="s">
        <v>3</v>
      </c>
    </row>
    <row r="300" spans="3:8" ht="20" hidden="1" customHeight="1" x14ac:dyDescent="0.2">
      <c r="C300" s="47">
        <v>45764</v>
      </c>
      <c r="D300" s="48" t="s">
        <v>570</v>
      </c>
      <c r="E300" s="49">
        <f>1281/3</f>
        <v>427</v>
      </c>
      <c r="F300" s="45" t="s">
        <v>11</v>
      </c>
    </row>
    <row r="301" spans="3:8" ht="20" hidden="1" customHeight="1" x14ac:dyDescent="0.2">
      <c r="C301" s="47">
        <v>45765</v>
      </c>
      <c r="D301" s="48" t="s">
        <v>502</v>
      </c>
      <c r="E301" s="49">
        <f>8650/3</f>
        <v>2883.3333333333335</v>
      </c>
      <c r="F301" s="45" t="s">
        <v>3</v>
      </c>
    </row>
    <row r="302" spans="3:8" ht="20" hidden="1" customHeight="1" x14ac:dyDescent="0.2">
      <c r="C302" s="47">
        <v>45765</v>
      </c>
      <c r="D302" s="48" t="s">
        <v>502</v>
      </c>
      <c r="E302" s="49">
        <f>8650/3</f>
        <v>2883.3333333333335</v>
      </c>
      <c r="F302" s="45" t="s">
        <v>11</v>
      </c>
    </row>
    <row r="303" spans="3:8" ht="20" hidden="1" customHeight="1" x14ac:dyDescent="0.2">
      <c r="C303" s="47">
        <v>45765</v>
      </c>
      <c r="D303" s="48" t="s">
        <v>571</v>
      </c>
      <c r="E303" s="49">
        <f>330/4</f>
        <v>82.5</v>
      </c>
      <c r="F303" s="45" t="s">
        <v>3</v>
      </c>
    </row>
    <row r="304" spans="3:8" ht="20" hidden="1" customHeight="1" x14ac:dyDescent="0.2">
      <c r="C304" s="47">
        <v>45765</v>
      </c>
      <c r="D304" s="48" t="s">
        <v>571</v>
      </c>
      <c r="E304" s="49">
        <f>330/4</f>
        <v>82.5</v>
      </c>
      <c r="F304" s="45" t="s">
        <v>11</v>
      </c>
    </row>
    <row r="305" spans="3:6" ht="20" hidden="1" customHeight="1" x14ac:dyDescent="0.2">
      <c r="C305" s="47">
        <v>45765</v>
      </c>
      <c r="D305" s="48" t="s">
        <v>571</v>
      </c>
      <c r="E305" s="49">
        <f>330/4</f>
        <v>82.5</v>
      </c>
      <c r="F305" s="45" t="s">
        <v>541</v>
      </c>
    </row>
    <row r="306" spans="3:6" ht="20" hidden="1" customHeight="1" x14ac:dyDescent="0.2">
      <c r="C306" s="47">
        <v>45765</v>
      </c>
      <c r="D306" s="48" t="s">
        <v>572</v>
      </c>
      <c r="E306" s="49">
        <f>(315+1897+305)/4</f>
        <v>629.25</v>
      </c>
      <c r="F306" s="45" t="s">
        <v>3</v>
      </c>
    </row>
    <row r="307" spans="3:6" ht="20" hidden="1" customHeight="1" x14ac:dyDescent="0.2">
      <c r="C307" s="47">
        <v>45765</v>
      </c>
      <c r="D307" s="48" t="s">
        <v>572</v>
      </c>
      <c r="E307" s="49">
        <f>(315+1897+305)/4</f>
        <v>629.25</v>
      </c>
      <c r="F307" s="45" t="s">
        <v>11</v>
      </c>
    </row>
    <row r="308" spans="3:6" ht="20" hidden="1" customHeight="1" x14ac:dyDescent="0.2">
      <c r="C308" s="47">
        <v>45765</v>
      </c>
      <c r="D308" s="48" t="s">
        <v>572</v>
      </c>
      <c r="E308" s="49">
        <f>(315+1897+305)/4</f>
        <v>629.25</v>
      </c>
      <c r="F308" s="45" t="s">
        <v>541</v>
      </c>
    </row>
    <row r="309" spans="3:6" ht="20" hidden="1" customHeight="1" x14ac:dyDescent="0.2">
      <c r="C309" s="47">
        <v>45766</v>
      </c>
      <c r="D309" s="48" t="s">
        <v>573</v>
      </c>
      <c r="E309" s="49">
        <f>1296/4</f>
        <v>324</v>
      </c>
      <c r="F309" s="45" t="s">
        <v>3</v>
      </c>
    </row>
    <row r="310" spans="3:6" ht="20" hidden="1" customHeight="1" x14ac:dyDescent="0.2">
      <c r="C310" s="47">
        <v>45766</v>
      </c>
      <c r="D310" s="48" t="s">
        <v>573</v>
      </c>
      <c r="E310" s="49">
        <f>1296/4</f>
        <v>324</v>
      </c>
      <c r="F310" s="45" t="s">
        <v>11</v>
      </c>
    </row>
    <row r="311" spans="3:6" ht="20" hidden="1" customHeight="1" x14ac:dyDescent="0.2">
      <c r="C311" s="47">
        <v>45766</v>
      </c>
      <c r="D311" s="48" t="s">
        <v>573</v>
      </c>
      <c r="E311" s="49">
        <f>1296/4</f>
        <v>324</v>
      </c>
      <c r="F311" s="45" t="s">
        <v>541</v>
      </c>
    </row>
    <row r="312" spans="3:6" ht="20" hidden="1" customHeight="1" x14ac:dyDescent="0.2">
      <c r="C312" s="47">
        <v>45766</v>
      </c>
      <c r="D312" s="48" t="s">
        <v>574</v>
      </c>
      <c r="E312" s="49">
        <f>228/3</f>
        <v>76</v>
      </c>
      <c r="F312" s="45" t="s">
        <v>3</v>
      </c>
    </row>
    <row r="313" spans="3:6" ht="20" hidden="1" customHeight="1" x14ac:dyDescent="0.2">
      <c r="C313" s="47">
        <v>45766</v>
      </c>
      <c r="D313" s="48" t="s">
        <v>574</v>
      </c>
      <c r="E313" s="49">
        <f>228/3</f>
        <v>76</v>
      </c>
      <c r="F313" s="45" t="s">
        <v>11</v>
      </c>
    </row>
    <row r="314" spans="3:6" ht="20" hidden="1" customHeight="1" x14ac:dyDescent="0.2">
      <c r="C314" s="47">
        <v>45766</v>
      </c>
      <c r="D314" s="48" t="s">
        <v>575</v>
      </c>
      <c r="E314" s="49">
        <f>113/2</f>
        <v>56.5</v>
      </c>
      <c r="F314" s="45" t="s">
        <v>3</v>
      </c>
    </row>
    <row r="315" spans="3:6" ht="20" hidden="1" customHeight="1" x14ac:dyDescent="0.2">
      <c r="C315" s="47">
        <v>45767</v>
      </c>
      <c r="D315" s="48" t="s">
        <v>576</v>
      </c>
      <c r="E315" s="49">
        <f>670/3</f>
        <v>223.33333333333334</v>
      </c>
      <c r="F315" s="45" t="s">
        <v>3</v>
      </c>
    </row>
    <row r="316" spans="3:6" ht="20" hidden="1" customHeight="1" x14ac:dyDescent="0.2">
      <c r="C316" s="47">
        <v>45767</v>
      </c>
      <c r="D316" s="48" t="s">
        <v>576</v>
      </c>
      <c r="E316" s="49">
        <f>670/3</f>
        <v>223.33333333333334</v>
      </c>
      <c r="F316" s="45" t="s">
        <v>541</v>
      </c>
    </row>
    <row r="317" spans="3:6" ht="20" hidden="1" customHeight="1" x14ac:dyDescent="0.2">
      <c r="C317" s="47">
        <v>45769</v>
      </c>
      <c r="D317" s="48" t="s">
        <v>521</v>
      </c>
      <c r="E317" s="49">
        <f>471/3</f>
        <v>157</v>
      </c>
      <c r="F317" s="45" t="s">
        <v>3</v>
      </c>
    </row>
    <row r="318" spans="3:6" ht="20" hidden="1" customHeight="1" x14ac:dyDescent="0.2">
      <c r="C318" s="47">
        <v>45769</v>
      </c>
      <c r="D318" s="48" t="s">
        <v>521</v>
      </c>
      <c r="E318" s="49">
        <f>471/3</f>
        <v>157</v>
      </c>
      <c r="F318" s="45" t="s">
        <v>11</v>
      </c>
    </row>
    <row r="319" spans="3:6" ht="20" hidden="1" customHeight="1" x14ac:dyDescent="0.2">
      <c r="C319" s="47">
        <v>45769</v>
      </c>
      <c r="D319" s="48" t="s">
        <v>577</v>
      </c>
      <c r="E319" s="49">
        <f>483/3</f>
        <v>161</v>
      </c>
      <c r="F319" s="45" t="s">
        <v>3</v>
      </c>
    </row>
    <row r="320" spans="3:6" ht="20" hidden="1" customHeight="1" x14ac:dyDescent="0.2">
      <c r="C320" s="47">
        <v>45769</v>
      </c>
      <c r="D320" s="48" t="s">
        <v>577</v>
      </c>
      <c r="E320" s="49">
        <f>483/3</f>
        <v>161</v>
      </c>
      <c r="F320" s="45" t="s">
        <v>11</v>
      </c>
    </row>
    <row r="321" spans="3:8" ht="20" hidden="1" customHeight="1" x14ac:dyDescent="0.2">
      <c r="C321" s="47">
        <v>45770</v>
      </c>
      <c r="D321" s="48" t="s">
        <v>536</v>
      </c>
      <c r="E321" s="49">
        <f>83/3</f>
        <v>27.666666666666668</v>
      </c>
      <c r="F321" s="45" t="s">
        <v>3</v>
      </c>
      <c r="H321" s="45" t="s">
        <v>485</v>
      </c>
    </row>
    <row r="322" spans="3:8" ht="20" hidden="1" customHeight="1" x14ac:dyDescent="0.2">
      <c r="C322" s="47">
        <v>45770</v>
      </c>
      <c r="D322" s="48" t="s">
        <v>536</v>
      </c>
      <c r="E322" s="49">
        <f>83/3</f>
        <v>27.666666666666668</v>
      </c>
      <c r="F322" s="45" t="s">
        <v>11</v>
      </c>
      <c r="H322" s="45" t="s">
        <v>485</v>
      </c>
    </row>
    <row r="323" spans="3:8" ht="20" hidden="1" customHeight="1" x14ac:dyDescent="0.2">
      <c r="C323" s="47">
        <v>45771</v>
      </c>
      <c r="D323" s="48" t="s">
        <v>578</v>
      </c>
      <c r="E323" s="49">
        <f>273/3</f>
        <v>91</v>
      </c>
      <c r="F323" s="45" t="s">
        <v>3</v>
      </c>
    </row>
    <row r="324" spans="3:8" ht="20" hidden="1" customHeight="1" x14ac:dyDescent="0.2">
      <c r="C324" s="47">
        <v>45771</v>
      </c>
      <c r="D324" s="48" t="s">
        <v>578</v>
      </c>
      <c r="E324" s="49">
        <f>273/3</f>
        <v>91</v>
      </c>
      <c r="F324" s="45" t="s">
        <v>11</v>
      </c>
    </row>
    <row r="325" spans="3:8" ht="20" hidden="1" customHeight="1" x14ac:dyDescent="0.2">
      <c r="C325" s="47">
        <v>45771</v>
      </c>
      <c r="D325" s="48" t="s">
        <v>536</v>
      </c>
      <c r="E325" s="49">
        <f>77/3</f>
        <v>25.666666666666668</v>
      </c>
      <c r="F325" s="45" t="s">
        <v>3</v>
      </c>
      <c r="H325" s="45" t="s">
        <v>485</v>
      </c>
    </row>
    <row r="326" spans="3:8" ht="20" hidden="1" customHeight="1" x14ac:dyDescent="0.2">
      <c r="C326" s="47">
        <v>45771</v>
      </c>
      <c r="D326" s="48" t="s">
        <v>536</v>
      </c>
      <c r="E326" s="49">
        <f>77/3</f>
        <v>25.666666666666668</v>
      </c>
      <c r="F326" s="45" t="s">
        <v>11</v>
      </c>
      <c r="H326" s="45" t="s">
        <v>485</v>
      </c>
    </row>
    <row r="327" spans="3:8" ht="20" hidden="1" customHeight="1" x14ac:dyDescent="0.2">
      <c r="C327" s="47">
        <v>45772</v>
      </c>
      <c r="D327" s="48" t="s">
        <v>536</v>
      </c>
      <c r="E327" s="49">
        <f>85/3</f>
        <v>28.333333333333332</v>
      </c>
      <c r="F327" s="45" t="s">
        <v>3</v>
      </c>
      <c r="H327" s="45" t="s">
        <v>485</v>
      </c>
    </row>
    <row r="328" spans="3:8" ht="20" hidden="1" customHeight="1" x14ac:dyDescent="0.2">
      <c r="C328" s="47">
        <v>45772</v>
      </c>
      <c r="D328" s="48" t="s">
        <v>536</v>
      </c>
      <c r="E328" s="49">
        <f>85/3</f>
        <v>28.333333333333332</v>
      </c>
      <c r="F328" s="45" t="s">
        <v>11</v>
      </c>
      <c r="H328" s="45" t="s">
        <v>485</v>
      </c>
    </row>
    <row r="329" spans="3:8" ht="20" hidden="1" customHeight="1" x14ac:dyDescent="0.2">
      <c r="C329" s="47">
        <v>45773</v>
      </c>
      <c r="D329" s="48" t="s">
        <v>579</v>
      </c>
      <c r="E329" s="49">
        <f>496/3</f>
        <v>165.33333333333334</v>
      </c>
      <c r="F329" s="45" t="s">
        <v>3</v>
      </c>
    </row>
    <row r="330" spans="3:8" ht="20" hidden="1" customHeight="1" x14ac:dyDescent="0.2">
      <c r="C330" s="47">
        <v>45773</v>
      </c>
      <c r="D330" s="48" t="s">
        <v>579</v>
      </c>
      <c r="E330" s="49">
        <f>496/3</f>
        <v>165.33333333333334</v>
      </c>
      <c r="F330" s="45" t="s">
        <v>11</v>
      </c>
    </row>
    <row r="331" spans="3:8" ht="20" hidden="1" customHeight="1" x14ac:dyDescent="0.2">
      <c r="C331" s="47">
        <v>45773</v>
      </c>
      <c r="D331" s="48" t="s">
        <v>580</v>
      </c>
      <c r="E331" s="49">
        <f>516/2</f>
        <v>258</v>
      </c>
      <c r="F331" s="45" t="s">
        <v>541</v>
      </c>
    </row>
    <row r="332" spans="3:8" ht="20" hidden="1" customHeight="1" x14ac:dyDescent="0.2">
      <c r="C332" s="47">
        <v>45774</v>
      </c>
      <c r="D332" s="48" t="s">
        <v>581</v>
      </c>
      <c r="E332" s="49">
        <f>550/3</f>
        <v>183.33333333333334</v>
      </c>
      <c r="F332" s="45" t="s">
        <v>3</v>
      </c>
    </row>
    <row r="333" spans="3:8" ht="20" hidden="1" customHeight="1" x14ac:dyDescent="0.2">
      <c r="C333" s="47">
        <v>45774</v>
      </c>
      <c r="D333" s="48" t="s">
        <v>581</v>
      </c>
      <c r="E333" s="49">
        <f>550/3</f>
        <v>183.33333333333334</v>
      </c>
      <c r="F333" s="45" t="s">
        <v>11</v>
      </c>
    </row>
    <row r="334" spans="3:8" ht="20" hidden="1" customHeight="1" x14ac:dyDescent="0.2">
      <c r="C334" s="47">
        <v>45774</v>
      </c>
      <c r="D334" s="48" t="s">
        <v>581</v>
      </c>
      <c r="E334" s="49">
        <f>538/4</f>
        <v>134.5</v>
      </c>
      <c r="F334" s="45" t="s">
        <v>558</v>
      </c>
    </row>
    <row r="335" spans="3:8" ht="20" hidden="1" customHeight="1" x14ac:dyDescent="0.2">
      <c r="C335" s="47">
        <v>45774</v>
      </c>
      <c r="D335" s="48" t="s">
        <v>581</v>
      </c>
      <c r="E335" s="49">
        <f>538/4</f>
        <v>134.5</v>
      </c>
      <c r="F335" s="45" t="s">
        <v>582</v>
      </c>
    </row>
    <row r="336" spans="3:8" ht="20" hidden="1" customHeight="1" x14ac:dyDescent="0.2">
      <c r="C336" s="47">
        <v>45774</v>
      </c>
      <c r="D336" s="48" t="s">
        <v>581</v>
      </c>
      <c r="E336" s="49">
        <f>538/4</f>
        <v>134.5</v>
      </c>
      <c r="F336" s="45" t="s">
        <v>493</v>
      </c>
    </row>
    <row r="337" spans="3:8" ht="20" hidden="1" customHeight="1" x14ac:dyDescent="0.2">
      <c r="C337" s="47">
        <v>45774</v>
      </c>
      <c r="D337" s="48" t="s">
        <v>581</v>
      </c>
      <c r="E337" s="49">
        <f>538/4</f>
        <v>134.5</v>
      </c>
      <c r="F337" s="45" t="s">
        <v>541</v>
      </c>
    </row>
    <row r="338" spans="3:8" ht="20" hidden="1" customHeight="1" x14ac:dyDescent="0.2">
      <c r="C338" s="47">
        <v>45774</v>
      </c>
      <c r="D338" s="48" t="s">
        <v>583</v>
      </c>
      <c r="E338" s="49">
        <f>446/3</f>
        <v>148.66666666666666</v>
      </c>
      <c r="F338" s="45" t="s">
        <v>3</v>
      </c>
    </row>
    <row r="339" spans="3:8" ht="20" hidden="1" customHeight="1" x14ac:dyDescent="0.2">
      <c r="C339" s="47">
        <v>45774</v>
      </c>
      <c r="D339" s="48" t="s">
        <v>583</v>
      </c>
      <c r="E339" s="49">
        <f>446/3</f>
        <v>148.66666666666666</v>
      </c>
      <c r="F339" s="45" t="s">
        <v>11</v>
      </c>
    </row>
    <row r="340" spans="3:8" ht="20" hidden="1" customHeight="1" x14ac:dyDescent="0.2">
      <c r="C340" s="47">
        <v>45774</v>
      </c>
      <c r="D340" s="48" t="s">
        <v>584</v>
      </c>
      <c r="E340" s="49">
        <f>1307/3</f>
        <v>435.66666666666669</v>
      </c>
      <c r="F340" s="45" t="s">
        <v>3</v>
      </c>
    </row>
    <row r="341" spans="3:8" ht="20" hidden="1" customHeight="1" x14ac:dyDescent="0.2">
      <c r="C341" s="47">
        <v>45774</v>
      </c>
      <c r="D341" s="48" t="s">
        <v>584</v>
      </c>
      <c r="E341" s="49">
        <f>1307/3</f>
        <v>435.66666666666669</v>
      </c>
      <c r="F341" s="45" t="s">
        <v>11</v>
      </c>
    </row>
    <row r="342" spans="3:8" ht="20" hidden="1" customHeight="1" x14ac:dyDescent="0.2">
      <c r="C342" s="47">
        <v>45774</v>
      </c>
      <c r="D342" s="48" t="s">
        <v>69</v>
      </c>
      <c r="E342" s="49">
        <f>617/2</f>
        <v>308.5</v>
      </c>
      <c r="F342" s="45" t="s">
        <v>541</v>
      </c>
    </row>
    <row r="343" spans="3:8" ht="20" hidden="1" customHeight="1" x14ac:dyDescent="0.2">
      <c r="C343" s="47">
        <v>45775</v>
      </c>
      <c r="D343" s="48" t="s">
        <v>536</v>
      </c>
      <c r="E343" s="49">
        <f>75/3</f>
        <v>25</v>
      </c>
      <c r="F343" s="45" t="s">
        <v>3</v>
      </c>
      <c r="H343" s="45" t="s">
        <v>485</v>
      </c>
    </row>
    <row r="344" spans="3:8" ht="20" hidden="1" customHeight="1" x14ac:dyDescent="0.2">
      <c r="C344" s="47">
        <v>45775</v>
      </c>
      <c r="D344" s="48" t="s">
        <v>536</v>
      </c>
      <c r="E344" s="49">
        <f>75/3</f>
        <v>25</v>
      </c>
      <c r="F344" s="45" t="s">
        <v>11</v>
      </c>
      <c r="H344" s="45" t="s">
        <v>485</v>
      </c>
    </row>
    <row r="345" spans="3:8" ht="20" hidden="1" customHeight="1" x14ac:dyDescent="0.2">
      <c r="C345" s="47">
        <v>45776</v>
      </c>
      <c r="D345" s="48" t="s">
        <v>536</v>
      </c>
      <c r="E345" s="49">
        <f>71/3</f>
        <v>23.666666666666668</v>
      </c>
      <c r="F345" s="45" t="s">
        <v>3</v>
      </c>
      <c r="H345" s="45" t="s">
        <v>485</v>
      </c>
    </row>
    <row r="346" spans="3:8" ht="20" hidden="1" customHeight="1" x14ac:dyDescent="0.2">
      <c r="C346" s="47">
        <v>45776</v>
      </c>
      <c r="D346" s="48" t="s">
        <v>536</v>
      </c>
      <c r="E346" s="49">
        <f>71/3</f>
        <v>23.666666666666668</v>
      </c>
      <c r="F346" s="45" t="s">
        <v>11</v>
      </c>
      <c r="H346" s="45" t="s">
        <v>485</v>
      </c>
    </row>
    <row r="347" spans="3:8" ht="20" hidden="1" customHeight="1" x14ac:dyDescent="0.2">
      <c r="C347" s="47">
        <v>45777</v>
      </c>
      <c r="D347" s="48" t="s">
        <v>555</v>
      </c>
      <c r="E347" s="49">
        <f>(1180+153)/3</f>
        <v>444.33333333333331</v>
      </c>
      <c r="F347" s="45" t="s">
        <v>3</v>
      </c>
    </row>
    <row r="348" spans="3:8" ht="20" hidden="1" customHeight="1" x14ac:dyDescent="0.2">
      <c r="C348" s="47">
        <v>45777</v>
      </c>
      <c r="D348" s="48" t="s">
        <v>555</v>
      </c>
      <c r="E348" s="49">
        <f>(1180+153)/3</f>
        <v>444.33333333333331</v>
      </c>
      <c r="F348" s="45" t="s">
        <v>11</v>
      </c>
    </row>
    <row r="349" spans="3:8" ht="20" customHeight="1" x14ac:dyDescent="0.2">
      <c r="C349" s="47">
        <v>45777</v>
      </c>
      <c r="D349" s="48" t="s">
        <v>559</v>
      </c>
      <c r="E349" s="49">
        <v>600</v>
      </c>
      <c r="F349" s="45" t="s">
        <v>556</v>
      </c>
    </row>
    <row r="350" spans="3:8" ht="20" customHeight="1" x14ac:dyDescent="0.2">
      <c r="C350" s="47">
        <v>45777</v>
      </c>
      <c r="D350" s="48" t="s">
        <v>559</v>
      </c>
      <c r="E350" s="49">
        <v>600</v>
      </c>
      <c r="F350" s="45" t="s">
        <v>557</v>
      </c>
    </row>
    <row r="351" spans="3:8" ht="20" hidden="1" customHeight="1" x14ac:dyDescent="0.2">
      <c r="C351" s="47">
        <v>45777</v>
      </c>
      <c r="D351" s="48" t="s">
        <v>559</v>
      </c>
      <c r="E351" s="49">
        <v>600</v>
      </c>
      <c r="F351" s="45" t="s">
        <v>558</v>
      </c>
    </row>
    <row r="352" spans="3:8" ht="20" hidden="1" customHeight="1" x14ac:dyDescent="0.2">
      <c r="C352" s="47">
        <v>45777</v>
      </c>
      <c r="D352" s="48" t="s">
        <v>536</v>
      </c>
      <c r="E352" s="49">
        <f>81/3</f>
        <v>27</v>
      </c>
      <c r="F352" s="45" t="s">
        <v>3</v>
      </c>
      <c r="H352" s="45" t="s">
        <v>485</v>
      </c>
    </row>
    <row r="353" spans="3:8" ht="20" hidden="1" customHeight="1" x14ac:dyDescent="0.2">
      <c r="C353" s="47">
        <v>45777</v>
      </c>
      <c r="D353" s="48" t="s">
        <v>536</v>
      </c>
      <c r="E353" s="49">
        <f>81/3</f>
        <v>27</v>
      </c>
      <c r="F353" s="45" t="s">
        <v>11</v>
      </c>
      <c r="H353" s="45" t="s">
        <v>485</v>
      </c>
    </row>
    <row r="354" spans="3:8" ht="20" hidden="1" customHeight="1" x14ac:dyDescent="0.2">
      <c r="C354" s="47">
        <v>45777</v>
      </c>
      <c r="D354" s="48" t="s">
        <v>499</v>
      </c>
      <c r="E354" s="49">
        <f>311/3</f>
        <v>103.66666666666667</v>
      </c>
      <c r="F354" s="45" t="s">
        <v>3</v>
      </c>
    </row>
    <row r="355" spans="3:8" ht="20" hidden="1" customHeight="1" x14ac:dyDescent="0.2">
      <c r="C355" s="47">
        <v>45777</v>
      </c>
      <c r="D355" s="48" t="s">
        <v>499</v>
      </c>
      <c r="E355" s="49">
        <f>311/3</f>
        <v>103.66666666666667</v>
      </c>
      <c r="F355" s="45" t="s">
        <v>11</v>
      </c>
    </row>
    <row r="356" spans="3:8" ht="20" hidden="1" customHeight="1" x14ac:dyDescent="0.2">
      <c r="C356" s="47">
        <v>45778</v>
      </c>
      <c r="D356" s="48" t="s">
        <v>590</v>
      </c>
      <c r="E356" s="49">
        <f>(431+60)/3 + 41</f>
        <v>204.66666666666666</v>
      </c>
      <c r="F356" s="45" t="s">
        <v>3</v>
      </c>
    </row>
    <row r="357" spans="3:8" ht="20" hidden="1" customHeight="1" x14ac:dyDescent="0.2">
      <c r="C357" s="47">
        <v>45778</v>
      </c>
      <c r="D357" s="48" t="s">
        <v>589</v>
      </c>
      <c r="E357" s="49">
        <f>(431+60)/3</f>
        <v>163.66666666666666</v>
      </c>
      <c r="F357" s="45" t="s">
        <v>541</v>
      </c>
    </row>
    <row r="358" spans="3:8" ht="20" hidden="1" customHeight="1" x14ac:dyDescent="0.2">
      <c r="C358" s="47">
        <v>45779</v>
      </c>
      <c r="D358" s="48" t="s">
        <v>525</v>
      </c>
      <c r="E358" s="49">
        <v>499.56</v>
      </c>
      <c r="F358" s="45" t="s">
        <v>3</v>
      </c>
    </row>
    <row r="359" spans="3:8" ht="20" hidden="1" customHeight="1" x14ac:dyDescent="0.2">
      <c r="C359" s="47">
        <v>45779</v>
      </c>
      <c r="D359" s="48" t="s">
        <v>536</v>
      </c>
      <c r="E359" s="49">
        <f>70/3</f>
        <v>23.333333333333332</v>
      </c>
      <c r="F359" s="45" t="s">
        <v>3</v>
      </c>
      <c r="H359" s="45" t="s">
        <v>485</v>
      </c>
    </row>
    <row r="360" spans="3:8" ht="20" hidden="1" customHeight="1" x14ac:dyDescent="0.2">
      <c r="C360" s="47">
        <v>45779</v>
      </c>
      <c r="D360" s="48" t="s">
        <v>536</v>
      </c>
      <c r="E360" s="49">
        <f>70/3</f>
        <v>23.333333333333332</v>
      </c>
      <c r="F360" s="45" t="s">
        <v>11</v>
      </c>
      <c r="H360" s="45" t="s">
        <v>485</v>
      </c>
    </row>
    <row r="361" spans="3:8" ht="20" hidden="1" customHeight="1" x14ac:dyDescent="0.2">
      <c r="C361" s="47">
        <v>45780</v>
      </c>
      <c r="D361" s="48" t="s">
        <v>591</v>
      </c>
      <c r="E361" s="49">
        <f>492/3</f>
        <v>164</v>
      </c>
      <c r="F361" s="45" t="s">
        <v>3</v>
      </c>
    </row>
    <row r="362" spans="3:8" ht="20" hidden="1" customHeight="1" x14ac:dyDescent="0.2">
      <c r="C362" s="47">
        <v>45780</v>
      </c>
      <c r="D362" s="48" t="s">
        <v>591</v>
      </c>
      <c r="E362" s="49">
        <f>492/3</f>
        <v>164</v>
      </c>
      <c r="F362" s="45" t="s">
        <v>11</v>
      </c>
    </row>
    <row r="363" spans="3:8" ht="20" hidden="1" customHeight="1" x14ac:dyDescent="0.2">
      <c r="C363" s="47">
        <v>45780</v>
      </c>
      <c r="D363" s="48" t="s">
        <v>592</v>
      </c>
      <c r="E363" s="49">
        <f>460/3</f>
        <v>153.33333333333334</v>
      </c>
      <c r="F363" s="45" t="s">
        <v>541</v>
      </c>
    </row>
    <row r="364" spans="3:8" ht="20" hidden="1" customHeight="1" x14ac:dyDescent="0.2">
      <c r="C364" s="47">
        <v>45780</v>
      </c>
      <c r="D364" s="48" t="s">
        <v>592</v>
      </c>
      <c r="E364" s="49">
        <f>460/3</f>
        <v>153.33333333333334</v>
      </c>
      <c r="F364" s="45" t="s">
        <v>493</v>
      </c>
    </row>
    <row r="365" spans="3:8" ht="20" hidden="1" customHeight="1" x14ac:dyDescent="0.2">
      <c r="C365" s="47">
        <v>45780</v>
      </c>
      <c r="D365" s="48" t="s">
        <v>593</v>
      </c>
      <c r="E365" s="49">
        <f>469/3</f>
        <v>156.33333333333334</v>
      </c>
      <c r="F365" s="45" t="s">
        <v>3</v>
      </c>
    </row>
    <row r="366" spans="3:8" ht="20" hidden="1" customHeight="1" x14ac:dyDescent="0.2">
      <c r="C366" s="47">
        <v>45780</v>
      </c>
      <c r="D366" s="48" t="s">
        <v>593</v>
      </c>
      <c r="E366" s="49">
        <f>469/3</f>
        <v>156.33333333333334</v>
      </c>
      <c r="F366" s="45" t="s">
        <v>11</v>
      </c>
    </row>
    <row r="367" spans="3:8" ht="20" hidden="1" customHeight="1" x14ac:dyDescent="0.2">
      <c r="C367" s="47">
        <v>45780</v>
      </c>
      <c r="D367" s="48" t="s">
        <v>594</v>
      </c>
      <c r="E367" s="49">
        <f>230/2</f>
        <v>115</v>
      </c>
      <c r="F367" s="45" t="s">
        <v>541</v>
      </c>
    </row>
    <row r="368" spans="3:8" ht="20" hidden="1" customHeight="1" x14ac:dyDescent="0.2">
      <c r="C368" s="47">
        <v>45780</v>
      </c>
      <c r="D368" s="48" t="s">
        <v>476</v>
      </c>
      <c r="E368" s="49">
        <f>363/3</f>
        <v>121</v>
      </c>
      <c r="F368" s="45" t="s">
        <v>11</v>
      </c>
    </row>
    <row r="369" spans="3:8" ht="20" hidden="1" customHeight="1" x14ac:dyDescent="0.2">
      <c r="C369" s="47">
        <v>45780</v>
      </c>
      <c r="D369" s="48" t="s">
        <v>476</v>
      </c>
      <c r="E369" s="49">
        <f>363/3</f>
        <v>121</v>
      </c>
      <c r="F369" s="45" t="s">
        <v>3</v>
      </c>
    </row>
    <row r="370" spans="3:8" ht="20" hidden="1" customHeight="1" x14ac:dyDescent="0.2">
      <c r="C370" s="47">
        <v>45781</v>
      </c>
      <c r="D370" s="48" t="s">
        <v>595</v>
      </c>
      <c r="E370" s="49">
        <f>195/3</f>
        <v>65</v>
      </c>
      <c r="F370" s="45" t="s">
        <v>3</v>
      </c>
    </row>
    <row r="371" spans="3:8" ht="20" hidden="1" customHeight="1" x14ac:dyDescent="0.2">
      <c r="C371" s="47">
        <v>45781</v>
      </c>
      <c r="D371" s="48" t="s">
        <v>595</v>
      </c>
      <c r="E371" s="49">
        <f>195/3</f>
        <v>65</v>
      </c>
      <c r="F371" s="45" t="s">
        <v>11</v>
      </c>
    </row>
    <row r="372" spans="3:8" ht="20" hidden="1" customHeight="1" x14ac:dyDescent="0.2">
      <c r="C372" s="47">
        <v>45782</v>
      </c>
      <c r="D372" s="48" t="s">
        <v>536</v>
      </c>
      <c r="E372" s="49">
        <f>85/3</f>
        <v>28.333333333333332</v>
      </c>
      <c r="F372" s="45" t="s">
        <v>3</v>
      </c>
      <c r="H372" s="45" t="s">
        <v>485</v>
      </c>
    </row>
    <row r="373" spans="3:8" ht="20" hidden="1" customHeight="1" x14ac:dyDescent="0.2">
      <c r="C373" s="47">
        <v>45782</v>
      </c>
      <c r="D373" s="48" t="s">
        <v>536</v>
      </c>
      <c r="E373" s="49">
        <f>85/3</f>
        <v>28.333333333333332</v>
      </c>
      <c r="F373" s="45" t="s">
        <v>11</v>
      </c>
      <c r="H373" s="45" t="s">
        <v>485</v>
      </c>
    </row>
    <row r="374" spans="3:8" ht="20" hidden="1" customHeight="1" x14ac:dyDescent="0.2">
      <c r="C374" s="47">
        <v>45783</v>
      </c>
      <c r="D374" s="48" t="s">
        <v>536</v>
      </c>
      <c r="E374" s="49">
        <f>86/3</f>
        <v>28.666666666666668</v>
      </c>
      <c r="F374" s="45" t="s">
        <v>3</v>
      </c>
      <c r="H374" s="45" t="s">
        <v>485</v>
      </c>
    </row>
    <row r="375" spans="3:8" ht="20" hidden="1" customHeight="1" x14ac:dyDescent="0.2">
      <c r="C375" s="47">
        <v>45783</v>
      </c>
      <c r="D375" s="48" t="s">
        <v>536</v>
      </c>
      <c r="E375" s="49">
        <f>86/3</f>
        <v>28.666666666666668</v>
      </c>
      <c r="F375" s="45" t="s">
        <v>11</v>
      </c>
      <c r="H375" s="45" t="s">
        <v>485</v>
      </c>
    </row>
    <row r="376" spans="3:8" ht="20" hidden="1" customHeight="1" x14ac:dyDescent="0.2">
      <c r="C376" s="47">
        <v>45783</v>
      </c>
      <c r="D376" s="48" t="s">
        <v>539</v>
      </c>
      <c r="E376" s="49">
        <f>739/2</f>
        <v>369.5</v>
      </c>
      <c r="F376" s="45" t="s">
        <v>3</v>
      </c>
    </row>
    <row r="377" spans="3:8" ht="20" hidden="1" customHeight="1" x14ac:dyDescent="0.2">
      <c r="C377" s="47">
        <v>45783</v>
      </c>
      <c r="D377" s="48" t="s">
        <v>539</v>
      </c>
      <c r="E377" s="49">
        <f>739/2</f>
        <v>369.5</v>
      </c>
      <c r="F377" s="45" t="s">
        <v>558</v>
      </c>
    </row>
    <row r="378" spans="3:8" ht="20" hidden="1" customHeight="1" x14ac:dyDescent="0.2">
      <c r="C378" s="47">
        <v>45784</v>
      </c>
      <c r="D378" t="s">
        <v>596</v>
      </c>
      <c r="E378" s="49">
        <f>83/3</f>
        <v>27.666666666666668</v>
      </c>
      <c r="F378" s="45" t="s">
        <v>3</v>
      </c>
      <c r="H378" s="45" t="s">
        <v>485</v>
      </c>
    </row>
    <row r="379" spans="3:8" ht="20" hidden="1" customHeight="1" x14ac:dyDescent="0.2">
      <c r="C379" s="47">
        <v>45784</v>
      </c>
      <c r="D379" t="s">
        <v>596</v>
      </c>
      <c r="E379" s="49">
        <f>83/3</f>
        <v>27.666666666666668</v>
      </c>
      <c r="F379" s="45" t="s">
        <v>11</v>
      </c>
      <c r="H379" s="45" t="s">
        <v>485</v>
      </c>
    </row>
    <row r="380" spans="3:8" ht="20" hidden="1" customHeight="1" x14ac:dyDescent="0.2">
      <c r="C380" s="47">
        <v>45785</v>
      </c>
      <c r="D380" s="48" t="s">
        <v>597</v>
      </c>
      <c r="E380" s="49">
        <f>457/3</f>
        <v>152.33333333333334</v>
      </c>
      <c r="F380" s="45" t="s">
        <v>3</v>
      </c>
    </row>
    <row r="381" spans="3:8" ht="20" hidden="1" customHeight="1" x14ac:dyDescent="0.2">
      <c r="C381" s="47">
        <v>45785</v>
      </c>
      <c r="D381" s="48" t="s">
        <v>597</v>
      </c>
      <c r="E381" s="49">
        <f>457/3</f>
        <v>152.33333333333334</v>
      </c>
      <c r="F381" s="45" t="s">
        <v>11</v>
      </c>
    </row>
    <row r="382" spans="3:8" ht="20" hidden="1" customHeight="1" x14ac:dyDescent="0.2">
      <c r="C382" s="47">
        <v>45786</v>
      </c>
      <c r="D382" t="s">
        <v>596</v>
      </c>
      <c r="E382" s="49">
        <f>78/3</f>
        <v>26</v>
      </c>
      <c r="F382" s="45" t="s">
        <v>3</v>
      </c>
      <c r="H382" s="45" t="s">
        <v>485</v>
      </c>
    </row>
    <row r="383" spans="3:8" ht="20" hidden="1" customHeight="1" x14ac:dyDescent="0.2">
      <c r="C383" s="47">
        <v>45786</v>
      </c>
      <c r="D383" t="s">
        <v>596</v>
      </c>
      <c r="E383" s="49">
        <f>78/3</f>
        <v>26</v>
      </c>
      <c r="F383" s="45" t="s">
        <v>11</v>
      </c>
      <c r="H383" s="45" t="s">
        <v>485</v>
      </c>
    </row>
    <row r="384" spans="3:8" ht="20" hidden="1" customHeight="1" x14ac:dyDescent="0.2">
      <c r="C384" s="47">
        <v>45787</v>
      </c>
      <c r="D384" s="48" t="s">
        <v>588</v>
      </c>
      <c r="E384" s="49">
        <f>799/3</f>
        <v>266.33333333333331</v>
      </c>
      <c r="F384" s="45" t="s">
        <v>3</v>
      </c>
    </row>
    <row r="385" spans="3:8" ht="20" hidden="1" customHeight="1" x14ac:dyDescent="0.2">
      <c r="C385" s="47">
        <v>45787</v>
      </c>
      <c r="D385" s="48" t="s">
        <v>588</v>
      </c>
      <c r="E385" s="49">
        <f>799/3</f>
        <v>266.33333333333331</v>
      </c>
      <c r="F385" s="45" t="s">
        <v>11</v>
      </c>
    </row>
    <row r="386" spans="3:8" ht="20" hidden="1" customHeight="1" x14ac:dyDescent="0.2">
      <c r="C386" s="47">
        <v>45789</v>
      </c>
      <c r="D386" t="s">
        <v>596</v>
      </c>
      <c r="E386" s="49">
        <f>78/3</f>
        <v>26</v>
      </c>
      <c r="F386" s="45" t="s">
        <v>3</v>
      </c>
      <c r="H386" s="45" t="s">
        <v>485</v>
      </c>
    </row>
    <row r="387" spans="3:8" ht="20" hidden="1" customHeight="1" x14ac:dyDescent="0.2">
      <c r="C387" s="47">
        <v>45789</v>
      </c>
      <c r="D387" t="s">
        <v>596</v>
      </c>
      <c r="E387" s="49">
        <f>78/3</f>
        <v>26</v>
      </c>
      <c r="F387" s="45" t="s">
        <v>11</v>
      </c>
      <c r="H387" s="45" t="s">
        <v>485</v>
      </c>
    </row>
    <row r="388" spans="3:8" ht="20" hidden="1" customHeight="1" x14ac:dyDescent="0.2">
      <c r="C388" s="47">
        <v>45794</v>
      </c>
      <c r="D388" s="48" t="s">
        <v>598</v>
      </c>
      <c r="E388" s="49">
        <f>315/3</f>
        <v>105</v>
      </c>
      <c r="F388" s="45" t="s">
        <v>3</v>
      </c>
    </row>
    <row r="389" spans="3:8" ht="20" hidden="1" customHeight="1" x14ac:dyDescent="0.2">
      <c r="C389" s="47">
        <v>45794</v>
      </c>
      <c r="D389" s="48" t="s">
        <v>598</v>
      </c>
      <c r="E389" s="49">
        <f>315/3</f>
        <v>105</v>
      </c>
      <c r="F389" s="45" t="s">
        <v>11</v>
      </c>
    </row>
    <row r="390" spans="3:8" ht="20" hidden="1" customHeight="1" x14ac:dyDescent="0.2">
      <c r="C390" s="47">
        <v>45794</v>
      </c>
      <c r="D390" s="48" t="s">
        <v>599</v>
      </c>
      <c r="E390" s="49">
        <f>1950/3</f>
        <v>650</v>
      </c>
      <c r="F390" s="45" t="s">
        <v>541</v>
      </c>
    </row>
    <row r="391" spans="3:8" ht="20" hidden="1" customHeight="1" x14ac:dyDescent="0.2">
      <c r="C391" s="47">
        <v>45794</v>
      </c>
      <c r="D391" s="48" t="s">
        <v>599</v>
      </c>
      <c r="E391" s="49">
        <f>750/3</f>
        <v>250</v>
      </c>
      <c r="F391" s="45" t="s">
        <v>493</v>
      </c>
    </row>
    <row r="392" spans="3:8" ht="20" hidden="1" customHeight="1" x14ac:dyDescent="0.2">
      <c r="C392" s="47">
        <v>45794</v>
      </c>
      <c r="D392" s="48" t="s">
        <v>569</v>
      </c>
      <c r="E392" s="49">
        <f>490/2</f>
        <v>245</v>
      </c>
      <c r="F392" s="45" t="s">
        <v>3</v>
      </c>
    </row>
    <row r="393" spans="3:8" ht="20" hidden="1" customHeight="1" x14ac:dyDescent="0.2">
      <c r="C393" s="47">
        <v>45795</v>
      </c>
      <c r="D393" s="48" t="s">
        <v>502</v>
      </c>
      <c r="E393" s="49">
        <f>8290/3</f>
        <v>2763.3333333333335</v>
      </c>
      <c r="F393" s="45" t="s">
        <v>3</v>
      </c>
    </row>
    <row r="394" spans="3:8" ht="20" hidden="1" customHeight="1" x14ac:dyDescent="0.2">
      <c r="C394" s="47">
        <v>45795</v>
      </c>
      <c r="D394" s="48" t="s">
        <v>502</v>
      </c>
      <c r="E394" s="49">
        <f>8290/3</f>
        <v>2763.3333333333335</v>
      </c>
      <c r="F394" s="45" t="s">
        <v>11</v>
      </c>
    </row>
    <row r="395" spans="3:8" ht="20" hidden="1" customHeight="1" x14ac:dyDescent="0.2">
      <c r="C395" s="47">
        <v>45795</v>
      </c>
      <c r="D395" s="48" t="s">
        <v>51</v>
      </c>
      <c r="E395" s="49">
        <f>974/3</f>
        <v>324.66666666666669</v>
      </c>
      <c r="F395" s="45" t="s">
        <v>3</v>
      </c>
    </row>
    <row r="396" spans="3:8" ht="20" hidden="1" customHeight="1" x14ac:dyDescent="0.2">
      <c r="C396" s="47">
        <v>45795</v>
      </c>
      <c r="D396" s="48" t="s">
        <v>51</v>
      </c>
      <c r="E396" s="49">
        <f>974/3</f>
        <v>324.66666666666669</v>
      </c>
      <c r="F396" s="45" t="s">
        <v>493</v>
      </c>
    </row>
    <row r="397" spans="3:8" ht="20" hidden="1" customHeight="1" x14ac:dyDescent="0.2">
      <c r="C397" s="47">
        <v>45795</v>
      </c>
      <c r="D397" s="48" t="s">
        <v>600</v>
      </c>
      <c r="E397" s="49">
        <f>840/3</f>
        <v>280</v>
      </c>
      <c r="F397" s="45" t="s">
        <v>3</v>
      </c>
    </row>
    <row r="398" spans="3:8" ht="20" hidden="1" customHeight="1" x14ac:dyDescent="0.2">
      <c r="C398" s="47">
        <v>45795</v>
      </c>
      <c r="D398" s="48" t="s">
        <v>600</v>
      </c>
      <c r="E398" s="49">
        <f>840/3</f>
        <v>280</v>
      </c>
      <c r="F398" s="45" t="s">
        <v>493</v>
      </c>
    </row>
    <row r="399" spans="3:8" ht="20" hidden="1" customHeight="1" x14ac:dyDescent="0.2">
      <c r="C399" s="47">
        <v>45796</v>
      </c>
      <c r="D399" t="s">
        <v>596</v>
      </c>
      <c r="E399" s="49">
        <f>75/3</f>
        <v>25</v>
      </c>
      <c r="F399" s="45" t="s">
        <v>3</v>
      </c>
      <c r="H399" s="45" t="s">
        <v>485</v>
      </c>
    </row>
    <row r="400" spans="3:8" ht="20" hidden="1" customHeight="1" x14ac:dyDescent="0.2">
      <c r="C400" s="47">
        <v>45796</v>
      </c>
      <c r="D400" t="s">
        <v>596</v>
      </c>
      <c r="E400" s="49">
        <f>75/3</f>
        <v>25</v>
      </c>
      <c r="F400" s="45" t="s">
        <v>11</v>
      </c>
      <c r="H400" s="45" t="s">
        <v>485</v>
      </c>
    </row>
    <row r="401" spans="3:8" ht="20" hidden="1" customHeight="1" x14ac:dyDescent="0.2">
      <c r="C401" s="47">
        <v>45797</v>
      </c>
      <c r="D401" t="s">
        <v>596</v>
      </c>
      <c r="E401" s="49">
        <f>84/3</f>
        <v>28</v>
      </c>
      <c r="F401" s="45" t="s">
        <v>3</v>
      </c>
      <c r="H401" s="45" t="s">
        <v>485</v>
      </c>
    </row>
    <row r="402" spans="3:8" ht="20" hidden="1" customHeight="1" x14ac:dyDescent="0.2">
      <c r="C402" s="47">
        <v>45797</v>
      </c>
      <c r="D402" t="s">
        <v>596</v>
      </c>
      <c r="E402" s="49">
        <f>84/3</f>
        <v>28</v>
      </c>
      <c r="F402" s="45" t="s">
        <v>11</v>
      </c>
      <c r="H402" s="45" t="s">
        <v>485</v>
      </c>
    </row>
    <row r="403" spans="3:8" ht="20" hidden="1" customHeight="1" x14ac:dyDescent="0.2">
      <c r="C403" s="47">
        <v>45798</v>
      </c>
      <c r="D403" t="s">
        <v>596</v>
      </c>
      <c r="E403" s="49">
        <f>77/3</f>
        <v>25.666666666666668</v>
      </c>
      <c r="F403" s="45" t="s">
        <v>3</v>
      </c>
      <c r="H403" s="45" t="s">
        <v>485</v>
      </c>
    </row>
    <row r="404" spans="3:8" ht="20" hidden="1" customHeight="1" x14ac:dyDescent="0.2">
      <c r="C404" s="47">
        <v>45798</v>
      </c>
      <c r="D404" t="s">
        <v>596</v>
      </c>
      <c r="E404" s="49">
        <f>77/3</f>
        <v>25.666666666666668</v>
      </c>
      <c r="F404" s="45" t="s">
        <v>11</v>
      </c>
      <c r="H404" s="45" t="s">
        <v>485</v>
      </c>
    </row>
    <row r="405" spans="3:8" ht="20" hidden="1" customHeight="1" x14ac:dyDescent="0.2">
      <c r="C405" s="47">
        <v>45802</v>
      </c>
      <c r="D405" s="48" t="s">
        <v>502</v>
      </c>
      <c r="E405" s="49">
        <f>13680/3</f>
        <v>4560</v>
      </c>
      <c r="F405" s="45" t="s">
        <v>3</v>
      </c>
    </row>
    <row r="406" spans="3:8" ht="20" hidden="1" customHeight="1" x14ac:dyDescent="0.2">
      <c r="C406" s="47">
        <v>45802</v>
      </c>
      <c r="D406" s="48" t="s">
        <v>502</v>
      </c>
      <c r="E406" s="49">
        <f>13680/3</f>
        <v>4560</v>
      </c>
      <c r="F406" s="45" t="s">
        <v>11</v>
      </c>
    </row>
    <row r="407" spans="3:8" ht="20" hidden="1" customHeight="1" x14ac:dyDescent="0.2">
      <c r="C407" s="47">
        <v>45803</v>
      </c>
      <c r="D407" s="48" t="s">
        <v>603</v>
      </c>
      <c r="E407" s="49">
        <f>1572/3</f>
        <v>524</v>
      </c>
      <c r="F407" s="45" t="s">
        <v>11</v>
      </c>
    </row>
    <row r="408" spans="3:8" ht="20" hidden="1" customHeight="1" x14ac:dyDescent="0.2">
      <c r="C408" s="47">
        <v>45803</v>
      </c>
      <c r="D408" s="48" t="s">
        <v>603</v>
      </c>
      <c r="E408" s="49">
        <f>1572/3</f>
        <v>524</v>
      </c>
      <c r="F408" s="45" t="s">
        <v>328</v>
      </c>
    </row>
    <row r="409" spans="3:8" ht="20" hidden="1" customHeight="1" x14ac:dyDescent="0.2">
      <c r="C409" s="47">
        <v>45805</v>
      </c>
      <c r="D409" s="48" t="s">
        <v>601</v>
      </c>
      <c r="E409" s="49">
        <v>2150</v>
      </c>
      <c r="F409" s="45" t="s">
        <v>63</v>
      </c>
    </row>
    <row r="410" spans="3:8" ht="20" hidden="1" customHeight="1" x14ac:dyDescent="0.2">
      <c r="C410" s="47">
        <v>45806</v>
      </c>
      <c r="D410" s="48" t="s">
        <v>602</v>
      </c>
      <c r="E410" s="49">
        <f>1180/3</f>
        <v>393.33333333333331</v>
      </c>
      <c r="F410" s="45" t="s">
        <v>3</v>
      </c>
    </row>
    <row r="411" spans="3:8" ht="20" hidden="1" customHeight="1" x14ac:dyDescent="0.2">
      <c r="C411" s="47">
        <v>45806</v>
      </c>
      <c r="D411" s="48" t="s">
        <v>602</v>
      </c>
      <c r="E411" s="49">
        <f>1180/3</f>
        <v>393.33333333333331</v>
      </c>
      <c r="F411" s="45" t="s">
        <v>11</v>
      </c>
    </row>
    <row r="412" spans="3:8" ht="20" hidden="1" customHeight="1" x14ac:dyDescent="0.2">
      <c r="C412" s="47">
        <v>45810</v>
      </c>
      <c r="D412" s="48" t="s">
        <v>526</v>
      </c>
      <c r="E412" s="49">
        <v>499.56</v>
      </c>
      <c r="F412" s="45" t="s">
        <v>3</v>
      </c>
    </row>
    <row r="413" spans="3:8" ht="20" hidden="1" customHeight="1" x14ac:dyDescent="0.2">
      <c r="C413" s="47">
        <v>45810</v>
      </c>
      <c r="D413" t="s">
        <v>596</v>
      </c>
      <c r="E413" s="49">
        <f>96/3</f>
        <v>32</v>
      </c>
      <c r="F413" s="45" t="s">
        <v>3</v>
      </c>
      <c r="H413" s="45" t="s">
        <v>485</v>
      </c>
    </row>
    <row r="414" spans="3:8" ht="20" hidden="1" customHeight="1" x14ac:dyDescent="0.2">
      <c r="C414" s="47">
        <v>45810</v>
      </c>
      <c r="D414" t="s">
        <v>596</v>
      </c>
      <c r="E414" s="49">
        <f>96/3</f>
        <v>32</v>
      </c>
      <c r="F414" s="45" t="s">
        <v>11</v>
      </c>
      <c r="H414" s="45" t="s">
        <v>485</v>
      </c>
    </row>
    <row r="415" spans="3:8" ht="20" hidden="1" customHeight="1" x14ac:dyDescent="0.2">
      <c r="C415" s="47">
        <v>45811</v>
      </c>
      <c r="D415" s="48" t="s">
        <v>604</v>
      </c>
      <c r="E415" s="49">
        <f>657/3</f>
        <v>219</v>
      </c>
      <c r="F415" s="45" t="s">
        <v>3</v>
      </c>
    </row>
    <row r="416" spans="3:8" ht="20" hidden="1" customHeight="1" x14ac:dyDescent="0.2">
      <c r="C416" s="47">
        <v>45811</v>
      </c>
      <c r="D416" s="48" t="s">
        <v>604</v>
      </c>
      <c r="E416" s="49">
        <f>657/3</f>
        <v>219</v>
      </c>
      <c r="F416" s="45" t="s">
        <v>11</v>
      </c>
    </row>
    <row r="417" spans="3:8" ht="20" hidden="1" customHeight="1" x14ac:dyDescent="0.2">
      <c r="C417" s="47">
        <v>45813</v>
      </c>
      <c r="D417" t="s">
        <v>596</v>
      </c>
      <c r="E417" s="49">
        <f>81/3</f>
        <v>27</v>
      </c>
      <c r="F417" s="45" t="s">
        <v>3</v>
      </c>
      <c r="H417" s="45" t="s">
        <v>485</v>
      </c>
    </row>
    <row r="418" spans="3:8" ht="20" hidden="1" customHeight="1" x14ac:dyDescent="0.2">
      <c r="C418" s="47">
        <v>45813</v>
      </c>
      <c r="D418" t="s">
        <v>596</v>
      </c>
      <c r="E418" s="49">
        <f>81/3</f>
        <v>27</v>
      </c>
      <c r="F418" s="45" t="s">
        <v>11</v>
      </c>
      <c r="H418" s="45" t="s">
        <v>485</v>
      </c>
    </row>
    <row r="419" spans="3:8" ht="20" hidden="1" customHeight="1" x14ac:dyDescent="0.2">
      <c r="C419" s="47">
        <v>45815</v>
      </c>
      <c r="D419" s="48" t="s">
        <v>612</v>
      </c>
      <c r="E419" s="49">
        <f>(560+180)/2</f>
        <v>370</v>
      </c>
      <c r="F419" s="45" t="s">
        <v>541</v>
      </c>
    </row>
    <row r="420" spans="3:8" ht="20" hidden="1" customHeight="1" x14ac:dyDescent="0.2">
      <c r="C420" s="47">
        <v>45833</v>
      </c>
      <c r="D420" s="48" t="s">
        <v>502</v>
      </c>
      <c r="E420" s="49">
        <f>8290/3</f>
        <v>2763.3333333333335</v>
      </c>
      <c r="F420" s="45" t="s">
        <v>3</v>
      </c>
    </row>
    <row r="421" spans="3:8" ht="20" hidden="1" customHeight="1" x14ac:dyDescent="0.2">
      <c r="C421" s="47">
        <v>45833</v>
      </c>
      <c r="D421" s="48" t="s">
        <v>502</v>
      </c>
      <c r="E421" s="49">
        <f>8290/3</f>
        <v>2763.3333333333335</v>
      </c>
      <c r="F421" s="45" t="s">
        <v>11</v>
      </c>
    </row>
    <row r="422" spans="3:8" ht="20" hidden="1" customHeight="1" x14ac:dyDescent="0.2">
      <c r="C422" s="47">
        <v>45835</v>
      </c>
      <c r="D422" s="48" t="s">
        <v>605</v>
      </c>
      <c r="E422" s="49">
        <v>450</v>
      </c>
      <c r="F422" s="45" t="s">
        <v>541</v>
      </c>
    </row>
    <row r="423" spans="3:8" ht="20" hidden="1" customHeight="1" x14ac:dyDescent="0.2">
      <c r="C423" s="47">
        <v>45815</v>
      </c>
      <c r="D423" s="48" t="s">
        <v>606</v>
      </c>
      <c r="E423" s="49">
        <v>177</v>
      </c>
      <c r="F423" s="45" t="s">
        <v>3</v>
      </c>
    </row>
    <row r="424" spans="3:8" ht="20" hidden="1" customHeight="1" x14ac:dyDescent="0.2">
      <c r="C424" s="47">
        <v>45814</v>
      </c>
      <c r="D424" t="s">
        <v>596</v>
      </c>
      <c r="E424" s="49">
        <f>91/3</f>
        <v>30.333333333333332</v>
      </c>
      <c r="F424" s="45" t="s">
        <v>3</v>
      </c>
      <c r="H424" s="45" t="s">
        <v>485</v>
      </c>
    </row>
    <row r="425" spans="3:8" ht="20" hidden="1" customHeight="1" x14ac:dyDescent="0.2">
      <c r="C425" s="47">
        <v>45814</v>
      </c>
      <c r="D425" t="s">
        <v>596</v>
      </c>
      <c r="E425" s="49">
        <f>91/3</f>
        <v>30.333333333333332</v>
      </c>
      <c r="F425" s="45" t="s">
        <v>11</v>
      </c>
      <c r="H425" s="45" t="s">
        <v>485</v>
      </c>
    </row>
    <row r="426" spans="3:8" ht="20" hidden="1" customHeight="1" x14ac:dyDescent="0.2">
      <c r="C426" s="47">
        <v>45815</v>
      </c>
      <c r="D426" s="48" t="s">
        <v>607</v>
      </c>
      <c r="E426" s="49">
        <f>80/2</f>
        <v>40</v>
      </c>
      <c r="F426" s="45" t="s">
        <v>3</v>
      </c>
    </row>
    <row r="427" spans="3:8" ht="20" hidden="1" customHeight="1" x14ac:dyDescent="0.2">
      <c r="C427" s="47">
        <v>45815</v>
      </c>
      <c r="D427" s="48" t="s">
        <v>608</v>
      </c>
      <c r="E427" s="49">
        <f>178/2</f>
        <v>89</v>
      </c>
      <c r="F427" s="45" t="s">
        <v>3</v>
      </c>
    </row>
    <row r="428" spans="3:8" ht="20" hidden="1" customHeight="1" x14ac:dyDescent="0.2">
      <c r="C428" s="47">
        <v>45815</v>
      </c>
      <c r="D428" s="48" t="s">
        <v>467</v>
      </c>
      <c r="E428" s="49">
        <f>110/2</f>
        <v>55</v>
      </c>
      <c r="F428" s="45" t="s">
        <v>3</v>
      </c>
    </row>
    <row r="429" spans="3:8" ht="20" hidden="1" customHeight="1" x14ac:dyDescent="0.2">
      <c r="C429" s="47">
        <v>45815</v>
      </c>
      <c r="D429" s="48" t="s">
        <v>569</v>
      </c>
      <c r="E429" s="49">
        <f>455/2</f>
        <v>227.5</v>
      </c>
      <c r="F429" s="45" t="s">
        <v>541</v>
      </c>
    </row>
    <row r="430" spans="3:8" ht="20" hidden="1" customHeight="1" x14ac:dyDescent="0.2">
      <c r="C430" s="47">
        <v>45816</v>
      </c>
      <c r="D430" s="48" t="s">
        <v>609</v>
      </c>
      <c r="E430" s="49">
        <f>624/3</f>
        <v>208</v>
      </c>
      <c r="F430" s="45" t="s">
        <v>3</v>
      </c>
    </row>
    <row r="431" spans="3:8" ht="20" hidden="1" customHeight="1" x14ac:dyDescent="0.2">
      <c r="C431" s="47">
        <v>45816</v>
      </c>
      <c r="D431" s="48" t="s">
        <v>609</v>
      </c>
      <c r="E431" s="49">
        <f>624/3</f>
        <v>208</v>
      </c>
      <c r="F431" s="45" t="s">
        <v>11</v>
      </c>
    </row>
    <row r="432" spans="3:8" ht="20" hidden="1" customHeight="1" x14ac:dyDescent="0.2">
      <c r="C432" s="47">
        <v>45817</v>
      </c>
      <c r="D432" t="s">
        <v>596</v>
      </c>
      <c r="E432" s="49">
        <f>64/3</f>
        <v>21.333333333333332</v>
      </c>
      <c r="F432" s="45" t="s">
        <v>3</v>
      </c>
      <c r="H432" s="45" t="s">
        <v>485</v>
      </c>
    </row>
    <row r="433" spans="3:8" ht="20" hidden="1" customHeight="1" x14ac:dyDescent="0.2">
      <c r="C433" s="47">
        <v>45817</v>
      </c>
      <c r="D433" t="s">
        <v>596</v>
      </c>
      <c r="E433" s="49">
        <f>64/3</f>
        <v>21.333333333333332</v>
      </c>
      <c r="F433" s="45" t="s">
        <v>11</v>
      </c>
      <c r="H433" s="45" t="s">
        <v>485</v>
      </c>
    </row>
    <row r="434" spans="3:8" ht="20" hidden="1" customHeight="1" x14ac:dyDescent="0.2">
      <c r="C434" s="47">
        <v>45818</v>
      </c>
      <c r="D434" s="48" t="s">
        <v>610</v>
      </c>
      <c r="E434" s="49">
        <f>220/3</f>
        <v>73.333333333333329</v>
      </c>
      <c r="F434" s="45" t="s">
        <v>3</v>
      </c>
    </row>
    <row r="435" spans="3:8" ht="20" hidden="1" customHeight="1" x14ac:dyDescent="0.2">
      <c r="C435" s="47">
        <v>45818</v>
      </c>
      <c r="D435" s="48" t="s">
        <v>610</v>
      </c>
      <c r="E435" s="49">
        <f>220/3</f>
        <v>73.333333333333329</v>
      </c>
      <c r="F435" s="45" t="s">
        <v>11</v>
      </c>
    </row>
    <row r="436" spans="3:8" ht="20" hidden="1" customHeight="1" x14ac:dyDescent="0.2">
      <c r="C436" s="47">
        <v>45814</v>
      </c>
      <c r="D436" s="48" t="s">
        <v>611</v>
      </c>
      <c r="E436" s="49">
        <f>84/2</f>
        <v>42</v>
      </c>
      <c r="F436" s="45" t="s">
        <v>3</v>
      </c>
    </row>
    <row r="437" spans="3:8" ht="20" hidden="1" customHeight="1" x14ac:dyDescent="0.2">
      <c r="C437" s="47">
        <v>45819</v>
      </c>
      <c r="D437" s="48" t="s">
        <v>499</v>
      </c>
      <c r="E437" s="49">
        <f>321/3</f>
        <v>107</v>
      </c>
      <c r="F437" s="45" t="s">
        <v>3</v>
      </c>
    </row>
    <row r="438" spans="3:8" ht="20" hidden="1" customHeight="1" x14ac:dyDescent="0.2">
      <c r="C438" s="47">
        <v>45819</v>
      </c>
      <c r="D438" s="48" t="s">
        <v>499</v>
      </c>
      <c r="E438" s="49">
        <f>321/3</f>
        <v>107</v>
      </c>
      <c r="F438" s="45" t="s">
        <v>11</v>
      </c>
    </row>
    <row r="439" spans="3:8" ht="20" hidden="1" customHeight="1" x14ac:dyDescent="0.2">
      <c r="C439" s="47">
        <v>45820</v>
      </c>
      <c r="D439" t="s">
        <v>596</v>
      </c>
      <c r="E439" s="49">
        <f>63/3</f>
        <v>21</v>
      </c>
      <c r="F439" s="45" t="s">
        <v>3</v>
      </c>
      <c r="H439" s="45" t="s">
        <v>485</v>
      </c>
    </row>
    <row r="440" spans="3:8" ht="20" hidden="1" customHeight="1" x14ac:dyDescent="0.2">
      <c r="C440" s="47">
        <v>45820</v>
      </c>
      <c r="D440" t="s">
        <v>596</v>
      </c>
      <c r="E440" s="49">
        <f>63/3</f>
        <v>21</v>
      </c>
      <c r="F440" s="45" t="s">
        <v>11</v>
      </c>
      <c r="H440" s="45" t="s">
        <v>485</v>
      </c>
    </row>
    <row r="441" spans="3:8" ht="20" hidden="1" customHeight="1" x14ac:dyDescent="0.2">
      <c r="C441" s="47">
        <v>45820</v>
      </c>
      <c r="D441" s="48" t="s">
        <v>569</v>
      </c>
      <c r="E441" s="49">
        <f>591/3</f>
        <v>197</v>
      </c>
      <c r="F441" s="45" t="s">
        <v>3</v>
      </c>
    </row>
    <row r="442" spans="3:8" ht="20" hidden="1" customHeight="1" x14ac:dyDescent="0.2">
      <c r="C442" s="47">
        <v>45820</v>
      </c>
      <c r="D442" s="48" t="s">
        <v>569</v>
      </c>
      <c r="E442" s="49">
        <f>591/3</f>
        <v>197</v>
      </c>
      <c r="F442" s="45" t="s">
        <v>541</v>
      </c>
    </row>
    <row r="443" spans="3:8" ht="20" hidden="1" customHeight="1" x14ac:dyDescent="0.2">
      <c r="C443" s="47">
        <v>45821</v>
      </c>
      <c r="D443" t="s">
        <v>596</v>
      </c>
      <c r="E443" s="49">
        <f>61/3</f>
        <v>20.333333333333332</v>
      </c>
      <c r="F443" s="45" t="s">
        <v>3</v>
      </c>
      <c r="H443" s="45" t="s">
        <v>485</v>
      </c>
    </row>
    <row r="444" spans="3:8" ht="20" hidden="1" customHeight="1" x14ac:dyDescent="0.2">
      <c r="C444" s="47">
        <v>45821</v>
      </c>
      <c r="D444" t="s">
        <v>596</v>
      </c>
      <c r="E444" s="49">
        <f>61/3</f>
        <v>20.333333333333332</v>
      </c>
      <c r="F444" s="45" t="s">
        <v>11</v>
      </c>
      <c r="H444" s="45" t="s">
        <v>485</v>
      </c>
    </row>
    <row r="445" spans="3:8" ht="20" hidden="1" customHeight="1" x14ac:dyDescent="0.2">
      <c r="C445" s="47">
        <v>45825</v>
      </c>
      <c r="D445" t="s">
        <v>596</v>
      </c>
      <c r="E445" s="49">
        <f>62/3</f>
        <v>20.666666666666668</v>
      </c>
      <c r="F445" s="45" t="s">
        <v>3</v>
      </c>
      <c r="H445" s="45" t="s">
        <v>485</v>
      </c>
    </row>
    <row r="446" spans="3:8" ht="20" hidden="1" customHeight="1" x14ac:dyDescent="0.2">
      <c r="C446" s="47">
        <v>45825</v>
      </c>
      <c r="D446" t="s">
        <v>596</v>
      </c>
      <c r="E446" s="49">
        <f>62/3</f>
        <v>20.666666666666668</v>
      </c>
      <c r="F446" s="45" t="s">
        <v>11</v>
      </c>
      <c r="H446" s="45" t="s">
        <v>485</v>
      </c>
    </row>
    <row r="447" spans="3:8" ht="20" hidden="1" customHeight="1" x14ac:dyDescent="0.2">
      <c r="C447" s="47">
        <v>45826</v>
      </c>
      <c r="D447" s="48" t="s">
        <v>613</v>
      </c>
      <c r="E447" s="49">
        <f>622/3</f>
        <v>207.33333333333334</v>
      </c>
      <c r="F447" s="45" t="s">
        <v>3</v>
      </c>
    </row>
    <row r="448" spans="3:8" ht="20" hidden="1" customHeight="1" x14ac:dyDescent="0.2">
      <c r="C448" s="47">
        <v>45826</v>
      </c>
      <c r="D448" s="48" t="s">
        <v>613</v>
      </c>
      <c r="E448" s="49">
        <f>622/3</f>
        <v>207.33333333333334</v>
      </c>
      <c r="F448" s="45" t="s">
        <v>11</v>
      </c>
    </row>
    <row r="449" spans="3:8" ht="20" hidden="1" customHeight="1" x14ac:dyDescent="0.2">
      <c r="C449" s="47">
        <v>45826</v>
      </c>
      <c r="D449" s="48" t="s">
        <v>614</v>
      </c>
      <c r="E449" s="49">
        <f>976/3</f>
        <v>325.33333333333331</v>
      </c>
      <c r="F449" s="45" t="s">
        <v>3</v>
      </c>
    </row>
    <row r="450" spans="3:8" ht="20" hidden="1" customHeight="1" x14ac:dyDescent="0.2">
      <c r="C450" s="47">
        <v>45826</v>
      </c>
      <c r="D450" s="48" t="s">
        <v>614</v>
      </c>
      <c r="E450" s="49">
        <f>976/3</f>
        <v>325.33333333333331</v>
      </c>
      <c r="F450" s="45" t="s">
        <v>11</v>
      </c>
    </row>
    <row r="451" spans="3:8" ht="20" hidden="1" customHeight="1" x14ac:dyDescent="0.2">
      <c r="C451" s="47">
        <v>45827</v>
      </c>
      <c r="D451" s="48" t="s">
        <v>499</v>
      </c>
      <c r="E451" s="49">
        <f>488/3</f>
        <v>162.66666666666666</v>
      </c>
      <c r="F451" s="45" t="s">
        <v>3</v>
      </c>
    </row>
    <row r="452" spans="3:8" ht="20" hidden="1" customHeight="1" x14ac:dyDescent="0.2">
      <c r="C452" s="47">
        <v>45827</v>
      </c>
      <c r="D452" s="48" t="s">
        <v>499</v>
      </c>
      <c r="E452" s="49">
        <f>488/3</f>
        <v>162.66666666666666</v>
      </c>
      <c r="F452" s="45" t="s">
        <v>11</v>
      </c>
    </row>
    <row r="453" spans="3:8" ht="20" hidden="1" customHeight="1" x14ac:dyDescent="0.2">
      <c r="C453" s="47">
        <v>45828</v>
      </c>
      <c r="D453" s="48" t="s">
        <v>539</v>
      </c>
      <c r="E453" s="49">
        <f>752/2</f>
        <v>376</v>
      </c>
      <c r="F453" s="45" t="s">
        <v>3</v>
      </c>
    </row>
    <row r="454" spans="3:8" ht="20" hidden="1" customHeight="1" x14ac:dyDescent="0.2">
      <c r="C454" s="47">
        <v>45829</v>
      </c>
      <c r="D454" s="48" t="s">
        <v>615</v>
      </c>
      <c r="E454" s="49">
        <f>170/4</f>
        <v>42.5</v>
      </c>
      <c r="F454" s="45" t="s">
        <v>3</v>
      </c>
    </row>
    <row r="455" spans="3:8" ht="20" hidden="1" customHeight="1" x14ac:dyDescent="0.2">
      <c r="C455" s="47">
        <v>45829</v>
      </c>
      <c r="D455" s="48" t="s">
        <v>615</v>
      </c>
      <c r="E455" s="49">
        <f>170/4</f>
        <v>42.5</v>
      </c>
      <c r="F455" s="45" t="s">
        <v>11</v>
      </c>
    </row>
    <row r="456" spans="3:8" ht="20" hidden="1" customHeight="1" x14ac:dyDescent="0.2">
      <c r="C456" s="47">
        <v>45829</v>
      </c>
      <c r="D456" s="48" t="s">
        <v>616</v>
      </c>
      <c r="E456" s="49">
        <f>170/4 + 66</f>
        <v>108.5</v>
      </c>
      <c r="F456" s="45" t="s">
        <v>541</v>
      </c>
    </row>
    <row r="457" spans="3:8" ht="20" hidden="1" customHeight="1" x14ac:dyDescent="0.2">
      <c r="C457" s="47">
        <v>45829</v>
      </c>
      <c r="D457" s="48" t="s">
        <v>617</v>
      </c>
      <c r="E457" s="49">
        <f>311/4</f>
        <v>77.75</v>
      </c>
      <c r="F457" s="45" t="s">
        <v>3</v>
      </c>
    </row>
    <row r="458" spans="3:8" ht="20" hidden="1" customHeight="1" x14ac:dyDescent="0.2">
      <c r="C458" s="47">
        <v>45829</v>
      </c>
      <c r="D458" s="48" t="s">
        <v>617</v>
      </c>
      <c r="E458" s="49">
        <f>311/4</f>
        <v>77.75</v>
      </c>
      <c r="F458" s="45" t="s">
        <v>11</v>
      </c>
    </row>
    <row r="459" spans="3:8" ht="20" hidden="1" customHeight="1" x14ac:dyDescent="0.2">
      <c r="C459" s="47">
        <v>45829</v>
      </c>
      <c r="D459" s="48" t="s">
        <v>617</v>
      </c>
      <c r="E459" s="49">
        <f>311/4</f>
        <v>77.75</v>
      </c>
      <c r="F459" s="45" t="s">
        <v>541</v>
      </c>
    </row>
    <row r="460" spans="3:8" ht="20" hidden="1" customHeight="1" x14ac:dyDescent="0.2">
      <c r="C460" s="47">
        <v>45829</v>
      </c>
      <c r="D460" s="48" t="s">
        <v>618</v>
      </c>
      <c r="E460" s="49">
        <f>93/2</f>
        <v>46.5</v>
      </c>
      <c r="F460" s="45" t="s">
        <v>3</v>
      </c>
    </row>
    <row r="461" spans="3:8" ht="20" hidden="1" customHeight="1" x14ac:dyDescent="0.2">
      <c r="C461" s="47">
        <v>45831</v>
      </c>
      <c r="D461" t="s">
        <v>596</v>
      </c>
      <c r="E461" s="49">
        <f>75/3</f>
        <v>25</v>
      </c>
      <c r="F461" s="45" t="s">
        <v>3</v>
      </c>
      <c r="H461" s="45" t="s">
        <v>485</v>
      </c>
    </row>
    <row r="462" spans="3:8" ht="20" hidden="1" customHeight="1" x14ac:dyDescent="0.2">
      <c r="C462" s="47">
        <v>45831</v>
      </c>
      <c r="D462" t="s">
        <v>596</v>
      </c>
      <c r="E462" s="49">
        <f>75/3</f>
        <v>25</v>
      </c>
      <c r="F462" s="45" t="s">
        <v>11</v>
      </c>
      <c r="H462" s="45" t="s">
        <v>485</v>
      </c>
    </row>
    <row r="463" spans="3:8" ht="20" hidden="1" customHeight="1" x14ac:dyDescent="0.2">
      <c r="C463" s="47">
        <v>45832</v>
      </c>
      <c r="D463" s="48" t="s">
        <v>619</v>
      </c>
      <c r="E463" s="49">
        <v>131</v>
      </c>
      <c r="F463" s="45" t="s">
        <v>3</v>
      </c>
    </row>
    <row r="464" spans="3:8" ht="20" hidden="1" customHeight="1" x14ac:dyDescent="0.2">
      <c r="C464" s="47">
        <v>45834</v>
      </c>
      <c r="D464" s="48" t="s">
        <v>620</v>
      </c>
      <c r="E464" s="49">
        <f>774/3</f>
        <v>258</v>
      </c>
      <c r="F464" s="45" t="s">
        <v>3</v>
      </c>
    </row>
    <row r="465" spans="3:8" ht="20" customHeight="1" x14ac:dyDescent="0.2">
      <c r="C465" s="47">
        <v>45834</v>
      </c>
      <c r="D465" s="48" t="s">
        <v>620</v>
      </c>
      <c r="E465" s="49">
        <f>774/3</f>
        <v>258</v>
      </c>
      <c r="F465" s="45" t="s">
        <v>556</v>
      </c>
    </row>
    <row r="466" spans="3:8" ht="20" hidden="1" customHeight="1" x14ac:dyDescent="0.2">
      <c r="C466" s="47">
        <v>45835</v>
      </c>
      <c r="D466" t="s">
        <v>596</v>
      </c>
      <c r="E466" s="49">
        <f>63/3</f>
        <v>21</v>
      </c>
      <c r="F466" s="45" t="s">
        <v>3</v>
      </c>
      <c r="H466" s="45" t="s">
        <v>485</v>
      </c>
    </row>
    <row r="467" spans="3:8" ht="20" hidden="1" customHeight="1" x14ac:dyDescent="0.2">
      <c r="C467" s="47">
        <v>45835</v>
      </c>
      <c r="D467" t="s">
        <v>596</v>
      </c>
      <c r="E467" s="49">
        <f>63/3</f>
        <v>21</v>
      </c>
      <c r="F467" s="45" t="s">
        <v>11</v>
      </c>
      <c r="H467" s="45" t="s">
        <v>485</v>
      </c>
    </row>
    <row r="468" spans="3:8" ht="20" hidden="1" customHeight="1" x14ac:dyDescent="0.2">
      <c r="C468" s="47">
        <v>45835</v>
      </c>
      <c r="D468" s="48" t="s">
        <v>621</v>
      </c>
      <c r="E468" s="49">
        <f>240/3</f>
        <v>80</v>
      </c>
      <c r="F468" s="45" t="s">
        <v>3</v>
      </c>
    </row>
    <row r="469" spans="3:8" ht="20" hidden="1" customHeight="1" x14ac:dyDescent="0.2">
      <c r="C469" s="47">
        <v>45835</v>
      </c>
      <c r="D469" s="48" t="s">
        <v>621</v>
      </c>
      <c r="E469" s="49">
        <f>240/3</f>
        <v>80</v>
      </c>
      <c r="F469" s="45" t="s">
        <v>11</v>
      </c>
    </row>
    <row r="470" spans="3:8" ht="20" hidden="1" customHeight="1" x14ac:dyDescent="0.2">
      <c r="C470" s="47">
        <v>45836</v>
      </c>
      <c r="D470" s="48" t="s">
        <v>622</v>
      </c>
      <c r="E470" s="49">
        <f>5761/3</f>
        <v>1920.3333333333333</v>
      </c>
      <c r="F470" s="45" t="s">
        <v>3</v>
      </c>
    </row>
    <row r="471" spans="3:8" ht="20" hidden="1" customHeight="1" x14ac:dyDescent="0.2">
      <c r="C471" s="47">
        <v>45836</v>
      </c>
      <c r="D471" s="48" t="s">
        <v>622</v>
      </c>
      <c r="E471" s="49">
        <f>5761/3</f>
        <v>1920.3333333333333</v>
      </c>
      <c r="F471" s="45" t="s">
        <v>11</v>
      </c>
    </row>
    <row r="472" spans="3:8" ht="20" hidden="1" customHeight="1" x14ac:dyDescent="0.2">
      <c r="C472" s="47">
        <v>45836</v>
      </c>
      <c r="D472" s="48" t="s">
        <v>623</v>
      </c>
      <c r="E472" s="49">
        <f>864/3</f>
        <v>288</v>
      </c>
      <c r="F472" s="45" t="s">
        <v>3</v>
      </c>
    </row>
    <row r="473" spans="3:8" ht="20" hidden="1" customHeight="1" x14ac:dyDescent="0.2">
      <c r="C473" s="47">
        <v>45836</v>
      </c>
      <c r="D473" s="48" t="s">
        <v>623</v>
      </c>
      <c r="E473" s="49">
        <f>864/3</f>
        <v>288</v>
      </c>
      <c r="F473" s="45" t="s">
        <v>11</v>
      </c>
    </row>
    <row r="474" spans="3:8" ht="20" hidden="1" customHeight="1" x14ac:dyDescent="0.2">
      <c r="C474" s="47">
        <v>45837</v>
      </c>
      <c r="D474" s="48" t="s">
        <v>624</v>
      </c>
      <c r="E474" s="49">
        <f>2126/3</f>
        <v>708.66666666666663</v>
      </c>
      <c r="F474" s="45" t="s">
        <v>3</v>
      </c>
    </row>
    <row r="475" spans="3:8" ht="20" hidden="1" customHeight="1" x14ac:dyDescent="0.2">
      <c r="C475" s="47">
        <v>45837</v>
      </c>
      <c r="D475" s="48" t="s">
        <v>624</v>
      </c>
      <c r="E475" s="49">
        <f>2126/3</f>
        <v>708.66666666666663</v>
      </c>
      <c r="F475" s="45" t="s">
        <v>11</v>
      </c>
    </row>
    <row r="476" spans="3:8" ht="20" hidden="1" customHeight="1" x14ac:dyDescent="0.2">
      <c r="C476" s="47">
        <v>45838</v>
      </c>
      <c r="D476" s="48" t="s">
        <v>653</v>
      </c>
      <c r="E476" s="49">
        <f>715/3</f>
        <v>238.33333333333334</v>
      </c>
      <c r="F476" s="45" t="s">
        <v>3</v>
      </c>
    </row>
    <row r="477" spans="3:8" ht="20" hidden="1" customHeight="1" x14ac:dyDescent="0.2">
      <c r="C477" s="47">
        <v>45838</v>
      </c>
      <c r="D477" s="48" t="s">
        <v>653</v>
      </c>
      <c r="E477" s="49">
        <f>715/3</f>
        <v>238.33333333333334</v>
      </c>
      <c r="F477" s="45" t="s">
        <v>11</v>
      </c>
    </row>
    <row r="478" spans="3:8" ht="20" hidden="1" customHeight="1" x14ac:dyDescent="0.2">
      <c r="C478" s="47">
        <v>45838</v>
      </c>
      <c r="D478" s="48" t="s">
        <v>499</v>
      </c>
      <c r="E478" s="49">
        <f>182/3</f>
        <v>60.666666666666664</v>
      </c>
      <c r="F478" s="45" t="s">
        <v>3</v>
      </c>
    </row>
    <row r="479" spans="3:8" ht="20" hidden="1" customHeight="1" x14ac:dyDescent="0.2">
      <c r="C479" s="47">
        <v>45838</v>
      </c>
      <c r="D479" s="48" t="s">
        <v>499</v>
      </c>
      <c r="E479" s="49">
        <f>182/3</f>
        <v>60.666666666666664</v>
      </c>
      <c r="F479" s="45" t="s">
        <v>11</v>
      </c>
    </row>
    <row r="480" spans="3:8" ht="20" hidden="1" customHeight="1" x14ac:dyDescent="0.2">
      <c r="C480" s="47">
        <v>45839</v>
      </c>
      <c r="D480" s="48" t="s">
        <v>642</v>
      </c>
      <c r="E480" s="49">
        <f>668/3</f>
        <v>222.66666666666666</v>
      </c>
      <c r="F480" s="45" t="s">
        <v>3</v>
      </c>
    </row>
    <row r="481" spans="3:8" ht="20" hidden="1" customHeight="1" x14ac:dyDescent="0.2">
      <c r="C481" s="47">
        <v>45839</v>
      </c>
      <c r="D481" s="48" t="s">
        <v>642</v>
      </c>
      <c r="E481" s="49">
        <f>668/3</f>
        <v>222.66666666666666</v>
      </c>
      <c r="F481" s="45" t="s">
        <v>11</v>
      </c>
    </row>
    <row r="482" spans="3:8" ht="20" hidden="1" customHeight="1" x14ac:dyDescent="0.2">
      <c r="C482" s="47">
        <v>45840</v>
      </c>
      <c r="D482" s="48" t="s">
        <v>499</v>
      </c>
      <c r="E482" s="49">
        <f>182/3</f>
        <v>60.666666666666664</v>
      </c>
      <c r="F482" s="45" t="s">
        <v>3</v>
      </c>
    </row>
    <row r="483" spans="3:8" ht="20" hidden="1" customHeight="1" x14ac:dyDescent="0.2">
      <c r="C483" s="47">
        <v>45840</v>
      </c>
      <c r="D483" s="48" t="s">
        <v>499</v>
      </c>
      <c r="E483" s="49">
        <f>182/3</f>
        <v>60.666666666666664</v>
      </c>
      <c r="F483" s="45" t="s">
        <v>11</v>
      </c>
    </row>
    <row r="484" spans="3:8" ht="20" hidden="1" customHeight="1" x14ac:dyDescent="0.2">
      <c r="C484" s="47">
        <v>45840</v>
      </c>
      <c r="D484" s="48" t="s">
        <v>627</v>
      </c>
      <c r="E484" s="53">
        <f>539/3</f>
        <v>179.66666666666666</v>
      </c>
      <c r="F484" s="45" t="s">
        <v>3</v>
      </c>
      <c r="G484" s="54"/>
      <c r="H484" s="54"/>
    </row>
    <row r="485" spans="3:8" ht="20" hidden="1" customHeight="1" x14ac:dyDescent="0.2">
      <c r="C485" s="47">
        <v>45840</v>
      </c>
      <c r="D485" s="48" t="s">
        <v>627</v>
      </c>
      <c r="E485" s="53">
        <f>539/3</f>
        <v>179.66666666666666</v>
      </c>
      <c r="F485" s="45" t="s">
        <v>11</v>
      </c>
      <c r="G485" s="54"/>
      <c r="H485" s="54"/>
    </row>
    <row r="486" spans="3:8" ht="20" hidden="1" customHeight="1" x14ac:dyDescent="0.2">
      <c r="C486" s="47">
        <v>45841</v>
      </c>
      <c r="D486" s="48" t="s">
        <v>499</v>
      </c>
      <c r="E486" s="49">
        <f>182/3</f>
        <v>60.666666666666664</v>
      </c>
      <c r="F486" s="45" t="s">
        <v>3</v>
      </c>
    </row>
    <row r="487" spans="3:8" ht="20" hidden="1" customHeight="1" x14ac:dyDescent="0.2">
      <c r="C487" s="47">
        <v>45841</v>
      </c>
      <c r="D487" s="48" t="s">
        <v>499</v>
      </c>
      <c r="E487" s="49">
        <f>182/3</f>
        <v>60.666666666666664</v>
      </c>
      <c r="F487" s="45" t="s">
        <v>11</v>
      </c>
    </row>
    <row r="488" spans="3:8" ht="20" hidden="1" customHeight="1" x14ac:dyDescent="0.2">
      <c r="C488" s="47">
        <v>45841</v>
      </c>
      <c r="D488" s="48" t="s">
        <v>628</v>
      </c>
      <c r="E488" s="53">
        <f>750/2</f>
        <v>375</v>
      </c>
      <c r="F488" s="45" t="s">
        <v>63</v>
      </c>
      <c r="G488" s="54"/>
      <c r="H488" s="54"/>
    </row>
    <row r="489" spans="3:8" ht="20" hidden="1" customHeight="1" x14ac:dyDescent="0.2">
      <c r="C489" s="47">
        <v>45841</v>
      </c>
      <c r="D489" s="48" t="s">
        <v>629</v>
      </c>
      <c r="E489" s="53">
        <f>1389/3</f>
        <v>463</v>
      </c>
      <c r="F489" s="45" t="s">
        <v>3</v>
      </c>
      <c r="G489" s="54"/>
      <c r="H489" s="54"/>
    </row>
    <row r="490" spans="3:8" ht="20" hidden="1" customHeight="1" x14ac:dyDescent="0.2">
      <c r="C490" s="47">
        <v>45841</v>
      </c>
      <c r="D490" s="48" t="s">
        <v>629</v>
      </c>
      <c r="E490" s="53">
        <f>1389/3</f>
        <v>463</v>
      </c>
      <c r="F490" s="45" t="s">
        <v>11</v>
      </c>
      <c r="G490" s="54"/>
      <c r="H490" s="54"/>
    </row>
    <row r="491" spans="3:8" ht="20" hidden="1" customHeight="1" x14ac:dyDescent="0.2">
      <c r="C491" s="47">
        <v>45841</v>
      </c>
      <c r="D491" s="48" t="s">
        <v>644</v>
      </c>
      <c r="E491" s="49">
        <f>210/3</f>
        <v>70</v>
      </c>
      <c r="F491" s="45" t="s">
        <v>3</v>
      </c>
    </row>
    <row r="492" spans="3:8" ht="20" hidden="1" customHeight="1" x14ac:dyDescent="0.2">
      <c r="C492" s="47">
        <v>45841</v>
      </c>
      <c r="D492" s="48" t="s">
        <v>644</v>
      </c>
      <c r="E492" s="49">
        <f>210/3</f>
        <v>70</v>
      </c>
      <c r="F492" s="45" t="s">
        <v>11</v>
      </c>
    </row>
    <row r="493" spans="3:8" ht="20" hidden="1" customHeight="1" x14ac:dyDescent="0.2">
      <c r="C493" s="47">
        <v>45841</v>
      </c>
      <c r="D493" s="48" t="s">
        <v>645</v>
      </c>
      <c r="E493" s="49">
        <f>159/3</f>
        <v>53</v>
      </c>
      <c r="F493" s="45" t="s">
        <v>3</v>
      </c>
    </row>
    <row r="494" spans="3:8" ht="20" hidden="1" customHeight="1" x14ac:dyDescent="0.2">
      <c r="C494" s="47">
        <v>45841</v>
      </c>
      <c r="D494" s="48" t="s">
        <v>645</v>
      </c>
      <c r="E494" s="49">
        <f>159/3</f>
        <v>53</v>
      </c>
      <c r="F494" s="45" t="s">
        <v>11</v>
      </c>
    </row>
    <row r="495" spans="3:8" ht="20" hidden="1" customHeight="1" x14ac:dyDescent="0.2">
      <c r="C495" s="47">
        <v>45843</v>
      </c>
      <c r="D495" s="48" t="s">
        <v>625</v>
      </c>
      <c r="E495" s="49">
        <v>80</v>
      </c>
      <c r="F495" s="45" t="s">
        <v>582</v>
      </c>
    </row>
    <row r="496" spans="3:8" ht="20" hidden="1" customHeight="1" x14ac:dyDescent="0.2">
      <c r="C496" s="47">
        <v>45843</v>
      </c>
      <c r="D496" s="48" t="s">
        <v>626</v>
      </c>
      <c r="E496" s="49">
        <f>325/3</f>
        <v>108.33333333333333</v>
      </c>
      <c r="F496" s="45" t="s">
        <v>3</v>
      </c>
    </row>
    <row r="497" spans="3:8" ht="20" hidden="1" customHeight="1" x14ac:dyDescent="0.2">
      <c r="C497" s="47">
        <v>45843</v>
      </c>
      <c r="D497" s="48" t="s">
        <v>626</v>
      </c>
      <c r="E497" s="49">
        <f>325/3</f>
        <v>108.33333333333333</v>
      </c>
      <c r="F497" s="45" t="s">
        <v>11</v>
      </c>
    </row>
    <row r="498" spans="3:8" ht="20" hidden="1" customHeight="1" x14ac:dyDescent="0.2">
      <c r="C498" s="47">
        <v>45844</v>
      </c>
      <c r="D498" s="48" t="s">
        <v>630</v>
      </c>
      <c r="E498" s="53">
        <f>1207/3</f>
        <v>402.33333333333331</v>
      </c>
      <c r="F498" s="45" t="s">
        <v>3</v>
      </c>
      <c r="G498" s="54"/>
      <c r="H498" s="54"/>
    </row>
    <row r="499" spans="3:8" ht="20" hidden="1" customHeight="1" x14ac:dyDescent="0.2">
      <c r="C499" s="47">
        <v>45844</v>
      </c>
      <c r="D499" s="48" t="s">
        <v>630</v>
      </c>
      <c r="E499" s="53">
        <f>1207/3</f>
        <v>402.33333333333331</v>
      </c>
      <c r="F499" s="45" t="s">
        <v>11</v>
      </c>
      <c r="G499" s="54"/>
      <c r="H499" s="54"/>
    </row>
    <row r="500" spans="3:8" ht="20" hidden="1" customHeight="1" x14ac:dyDescent="0.2">
      <c r="C500" s="47">
        <v>45844</v>
      </c>
      <c r="D500" s="48" t="s">
        <v>646</v>
      </c>
      <c r="E500" s="49">
        <f>147/3</f>
        <v>49</v>
      </c>
      <c r="F500" s="45" t="s">
        <v>3</v>
      </c>
    </row>
    <row r="501" spans="3:8" ht="20" hidden="1" customHeight="1" x14ac:dyDescent="0.2">
      <c r="C501" s="47">
        <v>45844</v>
      </c>
      <c r="D501" s="48" t="s">
        <v>646</v>
      </c>
      <c r="E501" s="49">
        <f>147/3</f>
        <v>49</v>
      </c>
      <c r="F501" s="45" t="s">
        <v>11</v>
      </c>
    </row>
    <row r="502" spans="3:8" ht="20" hidden="1" customHeight="1" x14ac:dyDescent="0.2">
      <c r="C502" s="47">
        <v>45845</v>
      </c>
      <c r="D502" s="48" t="s">
        <v>648</v>
      </c>
      <c r="E502" s="49">
        <f>210/3</f>
        <v>70</v>
      </c>
      <c r="F502" s="45" t="s">
        <v>3</v>
      </c>
    </row>
    <row r="503" spans="3:8" ht="20" hidden="1" customHeight="1" x14ac:dyDescent="0.2">
      <c r="C503" s="47">
        <v>45845</v>
      </c>
      <c r="D503" s="48" t="s">
        <v>648</v>
      </c>
      <c r="E503" s="49">
        <f>210/3</f>
        <v>70</v>
      </c>
      <c r="F503" s="45" t="s">
        <v>11</v>
      </c>
    </row>
    <row r="504" spans="3:8" ht="20" hidden="1" customHeight="1" x14ac:dyDescent="0.2">
      <c r="C504" s="47">
        <v>45847</v>
      </c>
      <c r="D504" s="48" t="s">
        <v>649</v>
      </c>
      <c r="E504" s="49">
        <v>165</v>
      </c>
      <c r="F504" s="45" t="s">
        <v>541</v>
      </c>
    </row>
    <row r="505" spans="3:8" ht="20" hidden="1" customHeight="1" x14ac:dyDescent="0.2">
      <c r="C505" s="47">
        <v>45848</v>
      </c>
      <c r="D505" s="48" t="s">
        <v>650</v>
      </c>
      <c r="E505" s="49">
        <f>234/2</f>
        <v>117</v>
      </c>
      <c r="F505" s="45" t="s">
        <v>3</v>
      </c>
    </row>
    <row r="506" spans="3:8" ht="20" hidden="1" customHeight="1" x14ac:dyDescent="0.25">
      <c r="C506" s="47">
        <v>45850</v>
      </c>
      <c r="D506" s="48" t="s">
        <v>647</v>
      </c>
      <c r="E506" s="53">
        <f>960/3</f>
        <v>320</v>
      </c>
      <c r="F506" s="45" t="s">
        <v>3</v>
      </c>
      <c r="G506" s="54"/>
      <c r="H506" s="54"/>
    </row>
    <row r="507" spans="3:8" ht="20" hidden="1" customHeight="1" x14ac:dyDescent="0.25">
      <c r="C507" s="47">
        <v>45850</v>
      </c>
      <c r="D507" s="48" t="s">
        <v>647</v>
      </c>
      <c r="E507" s="53">
        <f>960/3</f>
        <v>320</v>
      </c>
      <c r="F507" s="45" t="s">
        <v>11</v>
      </c>
      <c r="G507" s="54"/>
      <c r="H507" s="54"/>
    </row>
    <row r="508" spans="3:8" ht="20" hidden="1" customHeight="1" x14ac:dyDescent="0.2">
      <c r="C508" s="47">
        <v>45851</v>
      </c>
      <c r="D508" s="48" t="s">
        <v>641</v>
      </c>
      <c r="E508" s="49">
        <f>372/3</f>
        <v>124</v>
      </c>
      <c r="F508" s="45" t="s">
        <v>3</v>
      </c>
    </row>
    <row r="509" spans="3:8" ht="20" hidden="1" customHeight="1" x14ac:dyDescent="0.2">
      <c r="C509" s="47">
        <v>45851</v>
      </c>
      <c r="D509" s="48" t="s">
        <v>641</v>
      </c>
      <c r="E509" s="49">
        <f>372/3</f>
        <v>124</v>
      </c>
      <c r="F509" s="45" t="s">
        <v>11</v>
      </c>
    </row>
    <row r="510" spans="3:8" ht="20" hidden="1" customHeight="1" x14ac:dyDescent="0.2">
      <c r="C510" s="47">
        <v>45855</v>
      </c>
      <c r="D510" s="48" t="s">
        <v>639</v>
      </c>
      <c r="E510" s="53">
        <f>180/2</f>
        <v>90</v>
      </c>
      <c r="F510" s="45" t="s">
        <v>3</v>
      </c>
      <c r="G510" s="54"/>
      <c r="H510" s="54"/>
    </row>
    <row r="511" spans="3:8" ht="20" hidden="1" customHeight="1" x14ac:dyDescent="0.2">
      <c r="C511" s="47">
        <v>45860</v>
      </c>
      <c r="D511" s="48" t="s">
        <v>631</v>
      </c>
      <c r="E511" s="53">
        <f>11200/3</f>
        <v>3733.3333333333335</v>
      </c>
      <c r="F511" s="45" t="s">
        <v>3</v>
      </c>
      <c r="G511" s="54"/>
      <c r="H511" s="54"/>
    </row>
    <row r="512" spans="3:8" ht="20" hidden="1" customHeight="1" x14ac:dyDescent="0.2">
      <c r="C512" s="47">
        <v>45860</v>
      </c>
      <c r="D512" s="48" t="s">
        <v>631</v>
      </c>
      <c r="E512" s="53">
        <f>11200/3</f>
        <v>3733.3333333333335</v>
      </c>
      <c r="F512" s="45" t="s">
        <v>11</v>
      </c>
      <c r="G512" s="54"/>
      <c r="H512" s="54"/>
    </row>
    <row r="513" spans="3:8" ht="20" hidden="1" customHeight="1" x14ac:dyDescent="0.2">
      <c r="C513" s="47">
        <v>45860</v>
      </c>
      <c r="D513" s="48" t="s">
        <v>632</v>
      </c>
      <c r="E513" s="53">
        <f>520/3</f>
        <v>173.33333333333334</v>
      </c>
      <c r="F513" s="45" t="s">
        <v>3</v>
      </c>
      <c r="G513" s="54"/>
      <c r="H513" s="54"/>
    </row>
    <row r="514" spans="3:8" ht="20" hidden="1" customHeight="1" x14ac:dyDescent="0.2">
      <c r="C514" s="47">
        <v>45860</v>
      </c>
      <c r="D514" s="48" t="s">
        <v>632</v>
      </c>
      <c r="E514" s="53">
        <f>520/3</f>
        <v>173.33333333333334</v>
      </c>
      <c r="F514" s="45" t="s">
        <v>11</v>
      </c>
      <c r="G514" s="54"/>
      <c r="H514" s="54"/>
    </row>
    <row r="515" spans="3:8" ht="20" hidden="1" customHeight="1" x14ac:dyDescent="0.2">
      <c r="C515" s="47">
        <v>45862</v>
      </c>
      <c r="D515" s="48" t="s">
        <v>499</v>
      </c>
      <c r="E515" s="49">
        <f>220/3</f>
        <v>73.333333333333329</v>
      </c>
      <c r="F515" s="45" t="s">
        <v>3</v>
      </c>
    </row>
    <row r="516" spans="3:8" ht="20" hidden="1" customHeight="1" x14ac:dyDescent="0.2">
      <c r="C516" s="47">
        <v>45862</v>
      </c>
      <c r="D516" s="48" t="s">
        <v>499</v>
      </c>
      <c r="E516" s="49">
        <f>220/3</f>
        <v>73.333333333333329</v>
      </c>
      <c r="F516" s="45" t="s">
        <v>11</v>
      </c>
    </row>
    <row r="517" spans="3:8" ht="20" hidden="1" customHeight="1" x14ac:dyDescent="0.2">
      <c r="C517" s="47">
        <v>45862</v>
      </c>
      <c r="D517" s="48" t="s">
        <v>633</v>
      </c>
      <c r="E517" s="53">
        <f>770/3</f>
        <v>256.66666666666669</v>
      </c>
      <c r="F517" s="45" t="s">
        <v>3</v>
      </c>
      <c r="G517" s="54"/>
      <c r="H517" s="54"/>
    </row>
    <row r="518" spans="3:8" ht="20" hidden="1" customHeight="1" x14ac:dyDescent="0.2">
      <c r="C518" s="47">
        <v>45862</v>
      </c>
      <c r="D518" s="48" t="s">
        <v>633</v>
      </c>
      <c r="E518" s="53">
        <f>770/3</f>
        <v>256.66666666666669</v>
      </c>
      <c r="F518" s="45" t="s">
        <v>11</v>
      </c>
      <c r="G518" s="54"/>
      <c r="H518" s="54"/>
    </row>
    <row r="519" spans="3:8" ht="20" hidden="1" customHeight="1" x14ac:dyDescent="0.2">
      <c r="C519" s="47">
        <v>45862</v>
      </c>
      <c r="D519" s="48" t="s">
        <v>638</v>
      </c>
      <c r="E519" s="53">
        <f>280/4</f>
        <v>70</v>
      </c>
      <c r="F519" s="45" t="s">
        <v>3</v>
      </c>
      <c r="G519" s="54"/>
      <c r="H519" s="54"/>
    </row>
    <row r="520" spans="3:8" ht="20" hidden="1" customHeight="1" x14ac:dyDescent="0.2">
      <c r="C520" s="47">
        <v>45862</v>
      </c>
      <c r="D520" s="48" t="s">
        <v>638</v>
      </c>
      <c r="E520" s="53">
        <f>280/4</f>
        <v>70</v>
      </c>
      <c r="F520" s="45" t="s">
        <v>11</v>
      </c>
      <c r="G520" s="54"/>
      <c r="H520" s="54"/>
    </row>
    <row r="521" spans="3:8" ht="20" hidden="1" customHeight="1" x14ac:dyDescent="0.2">
      <c r="C521" s="47">
        <v>45862</v>
      </c>
      <c r="D521" s="48" t="s">
        <v>638</v>
      </c>
      <c r="E521" s="53">
        <f>280/4</f>
        <v>70</v>
      </c>
      <c r="F521" s="45" t="s">
        <v>541</v>
      </c>
      <c r="G521" s="54"/>
      <c r="H521" s="54"/>
    </row>
    <row r="522" spans="3:8" ht="20" hidden="1" customHeight="1" x14ac:dyDescent="0.2">
      <c r="C522" s="47">
        <v>45865</v>
      </c>
      <c r="D522" s="48" t="s">
        <v>634</v>
      </c>
      <c r="E522" s="53">
        <f>109/3</f>
        <v>36.333333333333336</v>
      </c>
      <c r="F522" s="45" t="s">
        <v>3</v>
      </c>
      <c r="G522" s="54"/>
      <c r="H522" s="54"/>
    </row>
    <row r="523" spans="3:8" ht="20" hidden="1" customHeight="1" x14ac:dyDescent="0.2">
      <c r="C523" s="47">
        <v>45865</v>
      </c>
      <c r="D523" s="48" t="s">
        <v>634</v>
      </c>
      <c r="E523" s="53">
        <f>109/3</f>
        <v>36.333333333333336</v>
      </c>
      <c r="F523" s="45" t="s">
        <v>11</v>
      </c>
      <c r="G523" s="54"/>
      <c r="H523" s="54"/>
    </row>
    <row r="524" spans="3:8" ht="20" hidden="1" customHeight="1" x14ac:dyDescent="0.2">
      <c r="C524" s="47">
        <v>45869</v>
      </c>
      <c r="D524" s="48" t="s">
        <v>635</v>
      </c>
      <c r="E524" s="53">
        <f>490/3</f>
        <v>163.33333333333334</v>
      </c>
      <c r="F524" s="45" t="s">
        <v>3</v>
      </c>
      <c r="G524" s="54"/>
      <c r="H524" s="54"/>
    </row>
    <row r="525" spans="3:8" ht="20" hidden="1" customHeight="1" x14ac:dyDescent="0.2">
      <c r="C525" s="47">
        <v>45869</v>
      </c>
      <c r="D525" s="48" t="s">
        <v>635</v>
      </c>
      <c r="E525" s="53">
        <f>490/3</f>
        <v>163.33333333333334</v>
      </c>
      <c r="F525" s="45" t="s">
        <v>11</v>
      </c>
      <c r="G525" s="54"/>
      <c r="H525" s="54"/>
    </row>
    <row r="526" spans="3:8" ht="20" hidden="1" customHeight="1" x14ac:dyDescent="0.2">
      <c r="C526" s="47">
        <v>45871</v>
      </c>
      <c r="D526" s="48" t="s">
        <v>636</v>
      </c>
      <c r="E526" s="53">
        <f>1180/3</f>
        <v>393.33333333333331</v>
      </c>
      <c r="F526" s="45" t="s">
        <v>3</v>
      </c>
      <c r="G526" s="54"/>
      <c r="H526" s="54"/>
    </row>
    <row r="527" spans="3:8" ht="20" hidden="1" customHeight="1" x14ac:dyDescent="0.2">
      <c r="C527" s="47">
        <v>45871</v>
      </c>
      <c r="D527" s="48" t="s">
        <v>636</v>
      </c>
      <c r="E527" s="53">
        <f>1180/3</f>
        <v>393.33333333333331</v>
      </c>
      <c r="F527" s="45" t="s">
        <v>11</v>
      </c>
      <c r="G527" s="54"/>
      <c r="H527" s="54"/>
    </row>
    <row r="528" spans="3:8" ht="20" hidden="1" customHeight="1" x14ac:dyDescent="0.2">
      <c r="C528" s="47">
        <v>45875</v>
      </c>
      <c r="D528" s="48" t="s">
        <v>637</v>
      </c>
      <c r="E528" s="53">
        <f>181/3</f>
        <v>60.333333333333336</v>
      </c>
      <c r="F528" s="45" t="s">
        <v>3</v>
      </c>
      <c r="G528" s="54"/>
      <c r="H528" s="54"/>
    </row>
    <row r="529" spans="3:8" ht="20" hidden="1" customHeight="1" x14ac:dyDescent="0.2">
      <c r="C529" s="47">
        <v>45875</v>
      </c>
      <c r="D529" s="48" t="s">
        <v>637</v>
      </c>
      <c r="E529" s="53">
        <f>181/3</f>
        <v>60.333333333333336</v>
      </c>
      <c r="F529" s="45" t="s">
        <v>11</v>
      </c>
      <c r="G529" s="54"/>
      <c r="H529" s="54"/>
    </row>
    <row r="530" spans="3:8" ht="20" hidden="1" customHeight="1" x14ac:dyDescent="0.2">
      <c r="C530" s="47">
        <v>45875</v>
      </c>
      <c r="D530" s="48" t="s">
        <v>640</v>
      </c>
      <c r="E530" s="49">
        <f>206/3</f>
        <v>68.666666666666671</v>
      </c>
      <c r="F530" s="45" t="s">
        <v>3</v>
      </c>
    </row>
    <row r="531" spans="3:8" ht="20" hidden="1" customHeight="1" x14ac:dyDescent="0.2">
      <c r="C531" s="47">
        <v>45875</v>
      </c>
      <c r="D531" s="48" t="s">
        <v>640</v>
      </c>
      <c r="E531" s="49">
        <f>206/3</f>
        <v>68.666666666666671</v>
      </c>
      <c r="F531" s="45" t="s">
        <v>11</v>
      </c>
    </row>
    <row r="532" spans="3:8" ht="20" hidden="1" customHeight="1" x14ac:dyDescent="0.2">
      <c r="C532" s="47">
        <v>45876</v>
      </c>
      <c r="D532" s="48" t="s">
        <v>643</v>
      </c>
      <c r="E532" s="49">
        <f>(1180*13)/(30*3)</f>
        <v>170.44444444444446</v>
      </c>
      <c r="F532" s="45" t="s">
        <v>3</v>
      </c>
    </row>
    <row r="533" spans="3:8" ht="20" hidden="1" customHeight="1" x14ac:dyDescent="0.2">
      <c r="C533" s="47">
        <v>45876</v>
      </c>
      <c r="D533" s="48" t="s">
        <v>643</v>
      </c>
      <c r="E533" s="49">
        <f>(1180*13)/(30*3)</f>
        <v>170.44444444444446</v>
      </c>
      <c r="F533" s="45" t="s">
        <v>11</v>
      </c>
    </row>
    <row r="534" spans="3:8" ht="20" hidden="1" customHeight="1" x14ac:dyDescent="0.2">
      <c r="C534" s="47">
        <v>45874</v>
      </c>
      <c r="D534" s="48" t="s">
        <v>651</v>
      </c>
      <c r="E534" s="49">
        <v>-1018.17</v>
      </c>
      <c r="F534" s="45" t="s">
        <v>11</v>
      </c>
    </row>
    <row r="535" spans="3:8" ht="20" hidden="1" customHeight="1" x14ac:dyDescent="0.2">
      <c r="C535" s="47">
        <v>45874</v>
      </c>
      <c r="D535" s="48" t="s">
        <v>651</v>
      </c>
      <c r="E535" s="49">
        <v>-8733.17</v>
      </c>
      <c r="F535" s="45" t="s">
        <v>3</v>
      </c>
    </row>
    <row r="1048574" spans="4:4" ht="20" customHeight="1" x14ac:dyDescent="0.2">
      <c r="D1048574" s="48" t="s">
        <v>622</v>
      </c>
    </row>
  </sheetData>
  <autoFilter ref="C3:H535" xr:uid="{6CC0D9C3-6ABD-314A-8A10-7A7F6C3D125E}">
    <filterColumn colId="3">
      <filters>
        <filter val="Aneesh"/>
        <filter val="Kanav"/>
      </filters>
    </filterColumn>
  </autoFilter>
  <sortState xmlns:xlrd2="http://schemas.microsoft.com/office/spreadsheetml/2017/richdata2" ref="C457:H533">
    <sortCondition ref="C457:C53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49A80-E54C-934E-9115-A5330A781711}">
  <dimension ref="C1:F268"/>
  <sheetViews>
    <sheetView showGridLines="0" topLeftCell="A239" workbookViewId="0">
      <selection activeCell="E4" sqref="E4:E268"/>
    </sheetView>
  </sheetViews>
  <sheetFormatPr baseColWidth="10" defaultRowHeight="16" x14ac:dyDescent="0.2"/>
  <cols>
    <col min="1" max="2" width="1" customWidth="1"/>
    <col min="3" max="3" width="26.1640625" bestFit="1" customWidth="1"/>
    <col min="4" max="4" width="60.5" customWidth="1"/>
    <col min="5" max="5" width="9.83203125" bestFit="1" customWidth="1"/>
    <col min="6" max="6" width="85.6640625" bestFit="1" customWidth="1"/>
  </cols>
  <sheetData>
    <row r="1" spans="3:6" ht="3" customHeight="1" x14ac:dyDescent="0.2"/>
    <row r="2" spans="3:6" ht="3" customHeight="1" x14ac:dyDescent="0.2"/>
    <row r="3" spans="3:6" x14ac:dyDescent="0.2">
      <c r="C3" s="55" t="s">
        <v>4</v>
      </c>
      <c r="D3" s="55" t="s">
        <v>431</v>
      </c>
      <c r="E3" s="55" t="s">
        <v>434</v>
      </c>
      <c r="F3" s="55" t="s">
        <v>432</v>
      </c>
    </row>
    <row r="4" spans="3:6" ht="17" x14ac:dyDescent="0.2">
      <c r="C4" s="56">
        <v>45670</v>
      </c>
      <c r="D4" s="28" t="s">
        <v>437</v>
      </c>
      <c r="E4" s="57">
        <v>225</v>
      </c>
      <c r="F4" s="58"/>
    </row>
    <row r="5" spans="3:6" ht="17" x14ac:dyDescent="0.2">
      <c r="C5" s="56">
        <v>45670</v>
      </c>
      <c r="D5" s="28" t="s">
        <v>438</v>
      </c>
      <c r="E5" s="57">
        <v>98.333333333333329</v>
      </c>
      <c r="F5" s="58"/>
    </row>
    <row r="6" spans="3:6" ht="17" x14ac:dyDescent="0.2">
      <c r="C6" s="56">
        <v>45670</v>
      </c>
      <c r="D6" s="28" t="s">
        <v>439</v>
      </c>
      <c r="E6" s="57">
        <v>14.333333333333334</v>
      </c>
      <c r="F6" s="58"/>
    </row>
    <row r="7" spans="3:6" ht="17" x14ac:dyDescent="0.2">
      <c r="C7" s="56">
        <v>45671</v>
      </c>
      <c r="D7" s="28" t="s">
        <v>440</v>
      </c>
      <c r="E7" s="57">
        <v>75</v>
      </c>
      <c r="F7" s="58"/>
    </row>
    <row r="8" spans="3:6" ht="17" x14ac:dyDescent="0.2">
      <c r="C8" s="56">
        <v>45671</v>
      </c>
      <c r="D8" s="28" t="s">
        <v>441</v>
      </c>
      <c r="E8" s="57">
        <v>26.666666666666668</v>
      </c>
      <c r="F8" s="58"/>
    </row>
    <row r="9" spans="3:6" ht="34" x14ac:dyDescent="0.2">
      <c r="C9" s="56">
        <v>45671</v>
      </c>
      <c r="D9" s="28" t="s">
        <v>442</v>
      </c>
      <c r="E9" s="57">
        <v>180</v>
      </c>
      <c r="F9" s="58"/>
    </row>
    <row r="10" spans="3:6" ht="17" x14ac:dyDescent="0.2">
      <c r="C10" s="56">
        <v>45671</v>
      </c>
      <c r="D10" s="28" t="s">
        <v>443</v>
      </c>
      <c r="E10" s="57">
        <v>853.33333333333337</v>
      </c>
      <c r="F10" s="58"/>
    </row>
    <row r="11" spans="3:6" ht="17" x14ac:dyDescent="0.2">
      <c r="C11" s="56">
        <v>45671</v>
      </c>
      <c r="D11" s="28" t="s">
        <v>444</v>
      </c>
      <c r="E11" s="57">
        <v>196.66666666666666</v>
      </c>
      <c r="F11" s="58"/>
    </row>
    <row r="12" spans="3:6" ht="17" x14ac:dyDescent="0.2">
      <c r="C12" s="56">
        <v>45671</v>
      </c>
      <c r="D12" s="28" t="s">
        <v>445</v>
      </c>
      <c r="E12" s="57">
        <v>20</v>
      </c>
      <c r="F12" s="58"/>
    </row>
    <row r="13" spans="3:6" ht="17" x14ac:dyDescent="0.2">
      <c r="C13" s="56">
        <v>45671</v>
      </c>
      <c r="D13" s="28" t="s">
        <v>446</v>
      </c>
      <c r="E13" s="57">
        <v>118.33333333333333</v>
      </c>
      <c r="F13" s="58"/>
    </row>
    <row r="14" spans="3:6" ht="17" x14ac:dyDescent="0.2">
      <c r="C14" s="56">
        <v>45671</v>
      </c>
      <c r="D14" s="28" t="s">
        <v>447</v>
      </c>
      <c r="E14" s="57">
        <v>243.33333333333334</v>
      </c>
      <c r="F14" s="58"/>
    </row>
    <row r="15" spans="3:6" ht="17" x14ac:dyDescent="0.2">
      <c r="C15" s="56">
        <v>45672</v>
      </c>
      <c r="D15" s="28" t="s">
        <v>448</v>
      </c>
      <c r="E15" s="57">
        <v>134.5</v>
      </c>
      <c r="F15" s="58"/>
    </row>
    <row r="16" spans="3:6" ht="17" x14ac:dyDescent="0.2">
      <c r="C16" s="56">
        <v>45672</v>
      </c>
      <c r="D16" s="28" t="s">
        <v>449</v>
      </c>
      <c r="E16" s="57">
        <v>90</v>
      </c>
      <c r="F16" s="58"/>
    </row>
    <row r="17" spans="3:6" ht="17" x14ac:dyDescent="0.2">
      <c r="C17" s="56">
        <v>45672</v>
      </c>
      <c r="D17" s="28" t="s">
        <v>450</v>
      </c>
      <c r="E17" s="57">
        <v>128.33333333333334</v>
      </c>
      <c r="F17" s="58"/>
    </row>
    <row r="18" spans="3:6" ht="17" x14ac:dyDescent="0.2">
      <c r="C18" s="56">
        <v>45672</v>
      </c>
      <c r="D18" s="28" t="s">
        <v>452</v>
      </c>
      <c r="E18" s="59">
        <v>60.666666666666664</v>
      </c>
      <c r="F18" s="58"/>
    </row>
    <row r="19" spans="3:6" ht="17" x14ac:dyDescent="0.2">
      <c r="C19" s="56">
        <v>45672</v>
      </c>
      <c r="D19" s="28" t="s">
        <v>453</v>
      </c>
      <c r="E19" s="57">
        <v>95</v>
      </c>
      <c r="F19" s="58"/>
    </row>
    <row r="20" spans="3:6" ht="17" x14ac:dyDescent="0.2">
      <c r="C20" s="56">
        <v>45672</v>
      </c>
      <c r="D20" s="28" t="s">
        <v>454</v>
      </c>
      <c r="E20" s="57">
        <v>80</v>
      </c>
      <c r="F20" s="58"/>
    </row>
    <row r="21" spans="3:6" ht="17" x14ac:dyDescent="0.2">
      <c r="C21" s="56">
        <v>45672</v>
      </c>
      <c r="D21" s="28" t="s">
        <v>144</v>
      </c>
      <c r="E21" s="57">
        <v>83.333333333333329</v>
      </c>
      <c r="F21" s="58"/>
    </row>
    <row r="22" spans="3:6" ht="17" x14ac:dyDescent="0.2">
      <c r="C22" s="56">
        <v>45673</v>
      </c>
      <c r="D22" s="28" t="s">
        <v>455</v>
      </c>
      <c r="E22" s="57">
        <v>41.666666666666664</v>
      </c>
      <c r="F22" s="58"/>
    </row>
    <row r="23" spans="3:6" ht="17" x14ac:dyDescent="0.2">
      <c r="C23" s="56">
        <v>45673</v>
      </c>
      <c r="D23" s="28" t="s">
        <v>456</v>
      </c>
      <c r="E23" s="57">
        <v>44.333333333333336</v>
      </c>
      <c r="F23" s="58"/>
    </row>
    <row r="24" spans="3:6" ht="17" x14ac:dyDescent="0.2">
      <c r="C24" s="56">
        <v>45673</v>
      </c>
      <c r="D24" s="28" t="s">
        <v>457</v>
      </c>
      <c r="E24" s="57">
        <v>50</v>
      </c>
      <c r="F24" s="58"/>
    </row>
    <row r="25" spans="3:6" ht="17" x14ac:dyDescent="0.2">
      <c r="C25" s="56">
        <v>45673</v>
      </c>
      <c r="D25" s="28" t="s">
        <v>458</v>
      </c>
      <c r="E25" s="57">
        <v>193.33333333333334</v>
      </c>
      <c r="F25" s="58"/>
    </row>
    <row r="26" spans="3:6" ht="17" x14ac:dyDescent="0.2">
      <c r="C26" s="56">
        <v>45673</v>
      </c>
      <c r="D26" s="28" t="s">
        <v>459</v>
      </c>
      <c r="E26" s="57">
        <v>140</v>
      </c>
      <c r="F26" s="58"/>
    </row>
    <row r="27" spans="3:6" ht="17" x14ac:dyDescent="0.2">
      <c r="C27" s="56">
        <v>45673</v>
      </c>
      <c r="D27" s="28" t="s">
        <v>486</v>
      </c>
      <c r="E27" s="57">
        <v>500</v>
      </c>
      <c r="F27" s="58"/>
    </row>
    <row r="28" spans="3:6" ht="17" x14ac:dyDescent="0.2">
      <c r="C28" s="56">
        <v>45674</v>
      </c>
      <c r="D28" s="28" t="s">
        <v>460</v>
      </c>
      <c r="E28" s="57">
        <v>105</v>
      </c>
      <c r="F28" s="58"/>
    </row>
    <row r="29" spans="3:6" ht="17" x14ac:dyDescent="0.2">
      <c r="C29" s="56">
        <v>45676</v>
      </c>
      <c r="D29" s="28" t="s">
        <v>461</v>
      </c>
      <c r="E29" s="57">
        <v>219.33333333333334</v>
      </c>
      <c r="F29" s="58"/>
    </row>
    <row r="30" spans="3:6" ht="17" x14ac:dyDescent="0.2">
      <c r="C30" s="56">
        <v>45676</v>
      </c>
      <c r="D30" s="28" t="s">
        <v>451</v>
      </c>
      <c r="E30" s="57">
        <v>90.666666666666671</v>
      </c>
      <c r="F30" s="58"/>
    </row>
    <row r="31" spans="3:6" ht="17" x14ac:dyDescent="0.2">
      <c r="C31" s="56">
        <v>45676</v>
      </c>
      <c r="D31" s="28" t="s">
        <v>462</v>
      </c>
      <c r="E31" s="57">
        <v>145.66666666666666</v>
      </c>
      <c r="F31" s="58"/>
    </row>
    <row r="32" spans="3:6" ht="17" x14ac:dyDescent="0.2">
      <c r="C32" s="56">
        <v>45676</v>
      </c>
      <c r="D32" s="28" t="s">
        <v>463</v>
      </c>
      <c r="E32" s="57">
        <v>283</v>
      </c>
      <c r="F32" s="58"/>
    </row>
    <row r="33" spans="3:6" ht="17" x14ac:dyDescent="0.2">
      <c r="C33" s="56">
        <v>45676</v>
      </c>
      <c r="D33" s="28" t="s">
        <v>465</v>
      </c>
      <c r="E33" s="57">
        <v>184.33333333333334</v>
      </c>
      <c r="F33" s="58"/>
    </row>
    <row r="34" spans="3:6" ht="34" x14ac:dyDescent="0.2">
      <c r="C34" s="56">
        <v>45677</v>
      </c>
      <c r="D34" s="28" t="s">
        <v>466</v>
      </c>
      <c r="E34" s="57">
        <v>267.33333333333331</v>
      </c>
      <c r="F34" s="58"/>
    </row>
    <row r="35" spans="3:6" ht="17" x14ac:dyDescent="0.2">
      <c r="C35" s="56">
        <v>45677</v>
      </c>
      <c r="D35" s="28" t="s">
        <v>467</v>
      </c>
      <c r="E35" s="57">
        <v>57.333333333333336</v>
      </c>
      <c r="F35" s="58"/>
    </row>
    <row r="36" spans="3:6" ht="17" x14ac:dyDescent="0.2">
      <c r="C36" s="56">
        <v>45677</v>
      </c>
      <c r="D36" s="28" t="s">
        <v>468</v>
      </c>
      <c r="E36" s="57">
        <v>77.666666666666671</v>
      </c>
      <c r="F36" s="58"/>
    </row>
    <row r="37" spans="3:6" ht="17" x14ac:dyDescent="0.2">
      <c r="C37" s="56">
        <v>45677</v>
      </c>
      <c r="D37" s="28" t="s">
        <v>482</v>
      </c>
      <c r="E37" s="57">
        <v>433.33333333333331</v>
      </c>
      <c r="F37" s="58"/>
    </row>
    <row r="38" spans="3:6" ht="17" x14ac:dyDescent="0.2">
      <c r="C38" s="56">
        <v>45678</v>
      </c>
      <c r="D38" s="28" t="s">
        <v>469</v>
      </c>
      <c r="E38" s="57">
        <v>140</v>
      </c>
      <c r="F38" s="58"/>
    </row>
    <row r="39" spans="3:6" ht="17" x14ac:dyDescent="0.2">
      <c r="C39" s="56">
        <v>45678</v>
      </c>
      <c r="D39" s="28" t="s">
        <v>470</v>
      </c>
      <c r="E39" s="57">
        <v>1180</v>
      </c>
      <c r="F39" s="58"/>
    </row>
    <row r="40" spans="3:6" ht="17" x14ac:dyDescent="0.2">
      <c r="C40" s="56">
        <v>45679</v>
      </c>
      <c r="D40" s="28" t="s">
        <v>471</v>
      </c>
      <c r="E40" s="57">
        <v>53.333333333333336</v>
      </c>
      <c r="F40" s="58"/>
    </row>
    <row r="41" spans="3:6" ht="17" x14ac:dyDescent="0.2">
      <c r="C41" s="56">
        <v>45679</v>
      </c>
      <c r="D41" s="28" t="s">
        <v>472</v>
      </c>
      <c r="E41" s="57">
        <v>91.5</v>
      </c>
      <c r="F41" s="58"/>
    </row>
    <row r="42" spans="3:6" ht="17" x14ac:dyDescent="0.2">
      <c r="C42" s="56">
        <v>45679</v>
      </c>
      <c r="D42" s="28" t="s">
        <v>473</v>
      </c>
      <c r="E42" s="57">
        <v>36.666666666666664</v>
      </c>
      <c r="F42" s="58"/>
    </row>
    <row r="43" spans="3:6" ht="17" x14ac:dyDescent="0.2">
      <c r="C43" s="56">
        <v>45679</v>
      </c>
      <c r="D43" s="28" t="s">
        <v>474</v>
      </c>
      <c r="E43" s="57">
        <v>264</v>
      </c>
      <c r="F43" s="58"/>
    </row>
    <row r="44" spans="3:6" ht="17" x14ac:dyDescent="0.2">
      <c r="C44" s="56">
        <v>45680</v>
      </c>
      <c r="D44" s="28" t="s">
        <v>475</v>
      </c>
      <c r="E44" s="57">
        <v>168</v>
      </c>
      <c r="F44" s="58"/>
    </row>
    <row r="45" spans="3:6" ht="17" x14ac:dyDescent="0.2">
      <c r="C45" s="56">
        <v>45680</v>
      </c>
      <c r="D45" s="28" t="s">
        <v>476</v>
      </c>
      <c r="E45" s="57">
        <v>788</v>
      </c>
      <c r="F45" s="58"/>
    </row>
    <row r="46" spans="3:6" ht="17" x14ac:dyDescent="0.2">
      <c r="C46" s="56">
        <v>45680</v>
      </c>
      <c r="D46" s="28" t="s">
        <v>474</v>
      </c>
      <c r="E46" s="57">
        <v>223</v>
      </c>
      <c r="F46" s="58"/>
    </row>
    <row r="47" spans="3:6" ht="17" x14ac:dyDescent="0.2">
      <c r="C47" s="56">
        <v>45680</v>
      </c>
      <c r="D47" s="28" t="s">
        <v>477</v>
      </c>
      <c r="E47" s="57">
        <v>265.33333333333331</v>
      </c>
      <c r="F47" s="58"/>
    </row>
    <row r="48" spans="3:6" ht="17" x14ac:dyDescent="0.2">
      <c r="C48" s="56">
        <v>45680</v>
      </c>
      <c r="D48" s="28" t="s">
        <v>478</v>
      </c>
      <c r="E48" s="57">
        <v>450</v>
      </c>
      <c r="F48" s="58"/>
    </row>
    <row r="49" spans="3:6" ht="17" x14ac:dyDescent="0.2">
      <c r="C49" s="56">
        <v>45681</v>
      </c>
      <c r="D49" s="28" t="s">
        <v>475</v>
      </c>
      <c r="E49" s="57">
        <v>202</v>
      </c>
      <c r="F49" s="58"/>
    </row>
    <row r="50" spans="3:6" ht="17" x14ac:dyDescent="0.2">
      <c r="C50" s="56">
        <v>45683</v>
      </c>
      <c r="D50" s="28" t="s">
        <v>480</v>
      </c>
      <c r="E50" s="57">
        <v>163.33333333333334</v>
      </c>
      <c r="F50" s="58"/>
    </row>
    <row r="51" spans="3:6" ht="17" x14ac:dyDescent="0.2">
      <c r="C51" s="56">
        <v>45683</v>
      </c>
      <c r="D51" s="28" t="s">
        <v>481</v>
      </c>
      <c r="E51" s="57">
        <v>395</v>
      </c>
      <c r="F51" s="58"/>
    </row>
    <row r="52" spans="3:6" ht="17" x14ac:dyDescent="0.2">
      <c r="C52" s="56">
        <v>45683</v>
      </c>
      <c r="D52" s="28" t="s">
        <v>467</v>
      </c>
      <c r="E52" s="57">
        <v>47.5</v>
      </c>
      <c r="F52" s="58"/>
    </row>
    <row r="53" spans="3:6" ht="17" x14ac:dyDescent="0.2">
      <c r="C53" s="56">
        <v>45683</v>
      </c>
      <c r="D53" s="28" t="s">
        <v>479</v>
      </c>
      <c r="E53" s="57">
        <v>216.66666666666666</v>
      </c>
      <c r="F53" s="58"/>
    </row>
    <row r="54" spans="3:6" ht="17" x14ac:dyDescent="0.2">
      <c r="C54" s="56">
        <v>45684</v>
      </c>
      <c r="D54" s="28" t="s">
        <v>475</v>
      </c>
      <c r="E54" s="57">
        <v>111.5</v>
      </c>
      <c r="F54" s="58"/>
    </row>
    <row r="55" spans="3:6" ht="17" x14ac:dyDescent="0.2">
      <c r="C55" s="56">
        <v>45684</v>
      </c>
      <c r="D55" s="28" t="s">
        <v>459</v>
      </c>
      <c r="E55" s="57">
        <v>115</v>
      </c>
      <c r="F55" s="58"/>
    </row>
    <row r="56" spans="3:6" ht="17" x14ac:dyDescent="0.2">
      <c r="C56" s="56">
        <v>45685</v>
      </c>
      <c r="D56" s="28" t="s">
        <v>652</v>
      </c>
      <c r="E56" s="57">
        <v>764.33333333333337</v>
      </c>
      <c r="F56" s="58"/>
    </row>
    <row r="57" spans="3:6" ht="17" x14ac:dyDescent="0.2">
      <c r="C57" s="56">
        <v>45685</v>
      </c>
      <c r="D57" s="28" t="s">
        <v>476</v>
      </c>
      <c r="E57" s="57">
        <v>56.333333333333336</v>
      </c>
      <c r="F57" s="58"/>
    </row>
    <row r="58" spans="3:6" ht="17" x14ac:dyDescent="0.2">
      <c r="C58" s="56">
        <v>45686</v>
      </c>
      <c r="D58" s="28" t="s">
        <v>483</v>
      </c>
      <c r="E58" s="57">
        <v>193.66666666666666</v>
      </c>
      <c r="F58" s="58"/>
    </row>
    <row r="59" spans="3:6" ht="17" x14ac:dyDescent="0.2">
      <c r="C59" s="56">
        <v>45687</v>
      </c>
      <c r="D59" s="28" t="s">
        <v>484</v>
      </c>
      <c r="E59" s="57">
        <v>436</v>
      </c>
      <c r="F59" s="58"/>
    </row>
    <row r="60" spans="3:6" ht="34" x14ac:dyDescent="0.2">
      <c r="C60" s="56">
        <v>45689</v>
      </c>
      <c r="D60" s="28" t="s">
        <v>487</v>
      </c>
      <c r="E60" s="57">
        <v>221.66666666666666</v>
      </c>
      <c r="F60" s="58"/>
    </row>
    <row r="61" spans="3:6" ht="17" x14ac:dyDescent="0.2">
      <c r="C61" s="56">
        <v>45689</v>
      </c>
      <c r="D61" s="28" t="s">
        <v>488</v>
      </c>
      <c r="E61" s="57">
        <v>282</v>
      </c>
      <c r="F61" s="58"/>
    </row>
    <row r="62" spans="3:6" ht="17" x14ac:dyDescent="0.2">
      <c r="C62" s="56">
        <v>45690</v>
      </c>
      <c r="D62" s="28" t="s">
        <v>489</v>
      </c>
      <c r="E62" s="57">
        <v>98.333333333333329</v>
      </c>
      <c r="F62" s="58"/>
    </row>
    <row r="63" spans="3:6" ht="17" x14ac:dyDescent="0.2">
      <c r="C63" s="56">
        <v>45690</v>
      </c>
      <c r="D63" s="28" t="s">
        <v>522</v>
      </c>
      <c r="E63" s="57">
        <v>499.56</v>
      </c>
      <c r="F63" s="58"/>
    </row>
    <row r="64" spans="3:6" ht="17" x14ac:dyDescent="0.2">
      <c r="C64" s="56">
        <v>45691</v>
      </c>
      <c r="D64" s="28" t="s">
        <v>490</v>
      </c>
      <c r="E64" s="57">
        <v>131</v>
      </c>
      <c r="F64" s="58"/>
    </row>
    <row r="65" spans="3:6" ht="17" x14ac:dyDescent="0.2">
      <c r="C65" s="56">
        <v>45691</v>
      </c>
      <c r="D65" s="28" t="s">
        <v>491</v>
      </c>
      <c r="E65" s="57">
        <v>229</v>
      </c>
      <c r="F65" s="58"/>
    </row>
    <row r="66" spans="3:6" ht="17" x14ac:dyDescent="0.2">
      <c r="C66" s="56">
        <v>45694</v>
      </c>
      <c r="D66" s="28" t="s">
        <v>13</v>
      </c>
      <c r="E66" s="57">
        <v>40</v>
      </c>
      <c r="F66" s="58"/>
    </row>
    <row r="67" spans="3:6" ht="17" x14ac:dyDescent="0.2">
      <c r="C67" s="56">
        <v>45695</v>
      </c>
      <c r="D67" s="28" t="s">
        <v>492</v>
      </c>
      <c r="E67" s="57">
        <v>33.333333333333336</v>
      </c>
      <c r="F67" s="58"/>
    </row>
    <row r="68" spans="3:6" ht="17" x14ac:dyDescent="0.2">
      <c r="C68" s="56">
        <v>45695</v>
      </c>
      <c r="D68" s="28" t="s">
        <v>494</v>
      </c>
      <c r="E68" s="57">
        <v>357.5</v>
      </c>
      <c r="F68" s="58"/>
    </row>
    <row r="69" spans="3:6" ht="17" x14ac:dyDescent="0.2">
      <c r="C69" s="56">
        <v>45696</v>
      </c>
      <c r="D69" s="28" t="s">
        <v>495</v>
      </c>
      <c r="E69" s="57">
        <v>161.66666666666666</v>
      </c>
      <c r="F69" s="58"/>
    </row>
    <row r="70" spans="3:6" ht="17" x14ac:dyDescent="0.2">
      <c r="C70" s="56">
        <v>45696</v>
      </c>
      <c r="D70" s="28" t="s">
        <v>496</v>
      </c>
      <c r="E70" s="57">
        <v>197.33333333333334</v>
      </c>
      <c r="F70" s="58"/>
    </row>
    <row r="71" spans="3:6" ht="17" x14ac:dyDescent="0.2">
      <c r="C71" s="56">
        <v>45696</v>
      </c>
      <c r="D71" s="28" t="s">
        <v>497</v>
      </c>
      <c r="E71" s="57">
        <v>305</v>
      </c>
      <c r="F71" s="58"/>
    </row>
    <row r="72" spans="3:6" ht="17" x14ac:dyDescent="0.2">
      <c r="C72" s="56">
        <v>45699</v>
      </c>
      <c r="D72" s="28" t="s">
        <v>498</v>
      </c>
      <c r="E72" s="57">
        <v>56</v>
      </c>
      <c r="F72" s="58"/>
    </row>
    <row r="73" spans="3:6" ht="17" x14ac:dyDescent="0.2">
      <c r="C73" s="56">
        <v>45700</v>
      </c>
      <c r="D73" s="28" t="s">
        <v>499</v>
      </c>
      <c r="E73" s="57">
        <v>56.333333333333336</v>
      </c>
      <c r="F73" s="58"/>
    </row>
    <row r="74" spans="3:6" ht="17" x14ac:dyDescent="0.2">
      <c r="C74" s="56">
        <v>45700</v>
      </c>
      <c r="D74" s="28" t="s">
        <v>500</v>
      </c>
      <c r="E74" s="57">
        <v>100</v>
      </c>
      <c r="F74" s="58"/>
    </row>
    <row r="75" spans="3:6" ht="17" x14ac:dyDescent="0.2">
      <c r="C75" s="56">
        <v>45701</v>
      </c>
      <c r="D75" s="28" t="s">
        <v>501</v>
      </c>
      <c r="E75" s="57">
        <v>53.666666666666664</v>
      </c>
      <c r="F75" s="58"/>
    </row>
    <row r="76" spans="3:6" ht="51" x14ac:dyDescent="0.2">
      <c r="C76" s="56">
        <v>45702</v>
      </c>
      <c r="D76" s="28" t="s">
        <v>503</v>
      </c>
      <c r="E76" s="57">
        <v>530</v>
      </c>
      <c r="F76" s="58"/>
    </row>
    <row r="77" spans="3:6" ht="17" x14ac:dyDescent="0.2">
      <c r="C77" s="56">
        <v>45703</v>
      </c>
      <c r="D77" s="28" t="s">
        <v>505</v>
      </c>
      <c r="E77" s="57">
        <v>42.333333333333336</v>
      </c>
      <c r="F77" s="58"/>
    </row>
    <row r="78" spans="3:6" ht="17" x14ac:dyDescent="0.2">
      <c r="C78" s="56">
        <v>45704</v>
      </c>
      <c r="D78" s="28" t="s">
        <v>506</v>
      </c>
      <c r="E78" s="57">
        <v>242</v>
      </c>
      <c r="F78" s="58"/>
    </row>
    <row r="79" spans="3:6" ht="17" x14ac:dyDescent="0.2">
      <c r="C79" s="56">
        <v>45705</v>
      </c>
      <c r="D79" s="28" t="s">
        <v>504</v>
      </c>
      <c r="E79" s="57">
        <v>65.666666666666671</v>
      </c>
      <c r="F79" s="58"/>
    </row>
    <row r="80" spans="3:6" ht="17" x14ac:dyDescent="0.2">
      <c r="C80" s="56">
        <v>45705</v>
      </c>
      <c r="D80" s="28" t="s">
        <v>507</v>
      </c>
      <c r="E80" s="57">
        <v>17</v>
      </c>
      <c r="F80" s="58"/>
    </row>
    <row r="81" spans="3:6" ht="17" x14ac:dyDescent="0.2">
      <c r="C81" s="56">
        <v>45705</v>
      </c>
      <c r="D81" s="28" t="s">
        <v>509</v>
      </c>
      <c r="E81" s="57">
        <v>134.66666666666666</v>
      </c>
      <c r="F81" s="58"/>
    </row>
    <row r="82" spans="3:6" ht="17" x14ac:dyDescent="0.2">
      <c r="C82" s="56">
        <v>45706</v>
      </c>
      <c r="D82" s="28" t="s">
        <v>502</v>
      </c>
      <c r="E82" s="57">
        <v>1433.3333333333333</v>
      </c>
      <c r="F82" s="58"/>
    </row>
    <row r="83" spans="3:6" ht="17" x14ac:dyDescent="0.2">
      <c r="C83" s="56">
        <v>45706</v>
      </c>
      <c r="D83" s="28" t="s">
        <v>510</v>
      </c>
      <c r="E83" s="57">
        <v>150</v>
      </c>
      <c r="F83" s="58"/>
    </row>
    <row r="84" spans="3:6" ht="17" x14ac:dyDescent="0.2">
      <c r="C84" s="56">
        <v>45706</v>
      </c>
      <c r="D84" s="28" t="s">
        <v>511</v>
      </c>
      <c r="E84" s="57">
        <v>187</v>
      </c>
      <c r="F84" s="58"/>
    </row>
    <row r="85" spans="3:6" ht="17" x14ac:dyDescent="0.2">
      <c r="C85" s="56">
        <v>45708</v>
      </c>
      <c r="D85" s="28" t="s">
        <v>512</v>
      </c>
      <c r="E85" s="57">
        <v>25</v>
      </c>
      <c r="F85" s="58"/>
    </row>
    <row r="86" spans="3:6" ht="17" x14ac:dyDescent="0.2">
      <c r="C86" s="56">
        <v>45708</v>
      </c>
      <c r="D86" s="28" t="s">
        <v>513</v>
      </c>
      <c r="E86" s="57">
        <v>341</v>
      </c>
      <c r="F86" s="58"/>
    </row>
    <row r="87" spans="3:6" ht="17" x14ac:dyDescent="0.2">
      <c r="C87" s="56">
        <v>45709</v>
      </c>
      <c r="D87" s="28" t="s">
        <v>514</v>
      </c>
      <c r="E87" s="57">
        <v>17</v>
      </c>
      <c r="F87" s="58"/>
    </row>
    <row r="88" spans="3:6" ht="17" x14ac:dyDescent="0.2">
      <c r="C88" s="56">
        <v>45710</v>
      </c>
      <c r="D88" s="28" t="s">
        <v>516</v>
      </c>
      <c r="E88" s="57">
        <v>660.5</v>
      </c>
      <c r="F88" s="58"/>
    </row>
    <row r="89" spans="3:6" ht="17" x14ac:dyDescent="0.2">
      <c r="C89" s="56">
        <v>45712</v>
      </c>
      <c r="D89" s="28" t="s">
        <v>518</v>
      </c>
      <c r="E89" s="57">
        <v>118</v>
      </c>
      <c r="F89" s="58"/>
    </row>
    <row r="90" spans="3:6" ht="17" x14ac:dyDescent="0.2">
      <c r="C90" s="56">
        <v>45713</v>
      </c>
      <c r="D90" s="28" t="s">
        <v>519</v>
      </c>
      <c r="E90" s="57">
        <v>57.666666666666664</v>
      </c>
      <c r="F90" s="58"/>
    </row>
    <row r="91" spans="3:6" ht="17" x14ac:dyDescent="0.2">
      <c r="C91" s="56">
        <v>45713</v>
      </c>
      <c r="D91" s="28" t="s">
        <v>529</v>
      </c>
      <c r="E91" s="57">
        <v>40</v>
      </c>
      <c r="F91" s="58"/>
    </row>
    <row r="92" spans="3:6" ht="17" x14ac:dyDescent="0.2">
      <c r="C92" s="56">
        <v>45714</v>
      </c>
      <c r="D92" s="28" t="s">
        <v>520</v>
      </c>
      <c r="E92" s="57">
        <v>180</v>
      </c>
      <c r="F92" s="58"/>
    </row>
    <row r="93" spans="3:6" ht="17" x14ac:dyDescent="0.2">
      <c r="C93" s="56">
        <v>45714</v>
      </c>
      <c r="D93" s="28" t="s">
        <v>521</v>
      </c>
      <c r="E93" s="57">
        <v>180</v>
      </c>
      <c r="F93" s="58"/>
    </row>
    <row r="94" spans="3:6" ht="17" x14ac:dyDescent="0.2">
      <c r="C94" s="56">
        <v>45714</v>
      </c>
      <c r="D94" s="28" t="s">
        <v>439</v>
      </c>
      <c r="E94" s="57">
        <v>22.333333333333332</v>
      </c>
      <c r="F94" s="58"/>
    </row>
    <row r="95" spans="3:6" ht="17" x14ac:dyDescent="0.2">
      <c r="C95" s="56">
        <v>45715</v>
      </c>
      <c r="D95" s="28" t="s">
        <v>527</v>
      </c>
      <c r="E95" s="57">
        <v>60</v>
      </c>
      <c r="F95" s="58"/>
    </row>
    <row r="96" spans="3:6" ht="17" x14ac:dyDescent="0.2">
      <c r="C96" s="56">
        <v>45716</v>
      </c>
      <c r="D96" s="28" t="s">
        <v>528</v>
      </c>
      <c r="E96" s="57">
        <v>225</v>
      </c>
      <c r="F96" s="58"/>
    </row>
    <row r="97" spans="3:6" ht="17" x14ac:dyDescent="0.2">
      <c r="C97" s="56">
        <v>45717</v>
      </c>
      <c r="D97" s="28" t="s">
        <v>532</v>
      </c>
      <c r="E97" s="57">
        <v>195</v>
      </c>
      <c r="F97" s="58"/>
    </row>
    <row r="98" spans="3:6" ht="17" x14ac:dyDescent="0.2">
      <c r="C98" s="56">
        <v>45717</v>
      </c>
      <c r="D98" s="28" t="s">
        <v>533</v>
      </c>
      <c r="E98" s="57">
        <v>175.66666666666666</v>
      </c>
      <c r="F98" s="58"/>
    </row>
    <row r="99" spans="3:6" ht="17" x14ac:dyDescent="0.2">
      <c r="C99" s="56">
        <v>45717</v>
      </c>
      <c r="D99" s="28" t="s">
        <v>534</v>
      </c>
      <c r="E99" s="57">
        <v>76.333333333333329</v>
      </c>
      <c r="F99" s="58"/>
    </row>
    <row r="100" spans="3:6" ht="17" x14ac:dyDescent="0.2">
      <c r="C100" s="56">
        <v>45718</v>
      </c>
      <c r="D100" s="28" t="s">
        <v>523</v>
      </c>
      <c r="E100" s="57">
        <v>499.56</v>
      </c>
      <c r="F100" s="58"/>
    </row>
    <row r="101" spans="3:6" ht="17" x14ac:dyDescent="0.2">
      <c r="C101" s="56">
        <v>45718</v>
      </c>
      <c r="D101" s="28" t="s">
        <v>530</v>
      </c>
      <c r="E101" s="57">
        <v>277</v>
      </c>
      <c r="F101" s="58"/>
    </row>
    <row r="102" spans="3:6" ht="34" x14ac:dyDescent="0.2">
      <c r="C102" s="56">
        <v>45718</v>
      </c>
      <c r="D102" s="28" t="s">
        <v>531</v>
      </c>
      <c r="E102" s="57">
        <v>416</v>
      </c>
      <c r="F102" s="58"/>
    </row>
    <row r="103" spans="3:6" ht="17" x14ac:dyDescent="0.2">
      <c r="C103" s="56">
        <v>45725</v>
      </c>
      <c r="D103" s="28" t="s">
        <v>535</v>
      </c>
      <c r="E103" s="57">
        <v>60</v>
      </c>
      <c r="F103" s="58"/>
    </row>
    <row r="104" spans="3:6" ht="17" x14ac:dyDescent="0.2">
      <c r="C104" s="56">
        <v>45726</v>
      </c>
      <c r="D104" s="28" t="s">
        <v>536</v>
      </c>
      <c r="E104" s="57">
        <v>24.666666666666668</v>
      </c>
      <c r="F104" s="58"/>
    </row>
    <row r="105" spans="3:6" ht="17" x14ac:dyDescent="0.2">
      <c r="C105" s="56">
        <v>45727</v>
      </c>
      <c r="D105" s="28" t="s">
        <v>537</v>
      </c>
      <c r="E105" s="57">
        <v>86.5</v>
      </c>
      <c r="F105" s="58" t="s">
        <v>485</v>
      </c>
    </row>
    <row r="106" spans="3:6" ht="17" x14ac:dyDescent="0.2">
      <c r="C106" s="56">
        <v>45728</v>
      </c>
      <c r="D106" s="28" t="s">
        <v>536</v>
      </c>
      <c r="E106" s="57">
        <v>27</v>
      </c>
      <c r="F106" s="58"/>
    </row>
    <row r="107" spans="3:6" ht="17" x14ac:dyDescent="0.2">
      <c r="C107" s="56">
        <v>45733</v>
      </c>
      <c r="D107" s="28" t="s">
        <v>536</v>
      </c>
      <c r="E107" s="57">
        <v>26</v>
      </c>
      <c r="F107" s="58" t="s">
        <v>485</v>
      </c>
    </row>
    <row r="108" spans="3:6" ht="17" x14ac:dyDescent="0.2">
      <c r="C108" s="56">
        <v>45734</v>
      </c>
      <c r="D108" s="28" t="s">
        <v>502</v>
      </c>
      <c r="E108" s="57">
        <v>2736.6666666666665</v>
      </c>
      <c r="F108" s="58"/>
    </row>
    <row r="109" spans="3:6" ht="17" x14ac:dyDescent="0.2">
      <c r="C109" s="56">
        <v>45734</v>
      </c>
      <c r="D109" s="28" t="s">
        <v>536</v>
      </c>
      <c r="E109" s="57">
        <v>24.666666666666668</v>
      </c>
      <c r="F109" s="58" t="s">
        <v>485</v>
      </c>
    </row>
    <row r="110" spans="3:6" ht="17" x14ac:dyDescent="0.2">
      <c r="C110" s="56">
        <v>45735</v>
      </c>
      <c r="D110" s="28" t="s">
        <v>536</v>
      </c>
      <c r="E110" s="57">
        <v>22.666666666666668</v>
      </c>
      <c r="F110" s="58" t="s">
        <v>485</v>
      </c>
    </row>
    <row r="111" spans="3:6" ht="17" x14ac:dyDescent="0.2">
      <c r="C111" s="56">
        <v>45736</v>
      </c>
      <c r="D111" s="28" t="s">
        <v>536</v>
      </c>
      <c r="E111" s="57">
        <v>25</v>
      </c>
      <c r="F111" s="58" t="s">
        <v>485</v>
      </c>
    </row>
    <row r="112" spans="3:6" ht="17" x14ac:dyDescent="0.2">
      <c r="C112" s="56">
        <v>45737</v>
      </c>
      <c r="D112" s="28" t="s">
        <v>538</v>
      </c>
      <c r="E112" s="57">
        <v>90</v>
      </c>
      <c r="F112" s="58"/>
    </row>
    <row r="113" spans="3:6" ht="17" x14ac:dyDescent="0.2">
      <c r="C113" s="56">
        <v>45737</v>
      </c>
      <c r="D113" s="28" t="s">
        <v>536</v>
      </c>
      <c r="E113" s="57">
        <v>22</v>
      </c>
      <c r="F113" s="58" t="s">
        <v>485</v>
      </c>
    </row>
    <row r="114" spans="3:6" ht="17" x14ac:dyDescent="0.2">
      <c r="C114" s="56">
        <v>45738</v>
      </c>
      <c r="D114" s="28" t="s">
        <v>539</v>
      </c>
      <c r="E114" s="57">
        <v>229.5</v>
      </c>
      <c r="F114" s="58"/>
    </row>
    <row r="115" spans="3:6" ht="17" x14ac:dyDescent="0.2">
      <c r="C115" s="56">
        <v>45739</v>
      </c>
      <c r="D115" s="28" t="s">
        <v>540</v>
      </c>
      <c r="E115" s="57">
        <v>492.66666666666669</v>
      </c>
      <c r="F115" s="58"/>
    </row>
    <row r="116" spans="3:6" ht="17" x14ac:dyDescent="0.2">
      <c r="C116" s="56">
        <v>45740</v>
      </c>
      <c r="D116" s="28" t="s">
        <v>536</v>
      </c>
      <c r="E116" s="57">
        <v>23</v>
      </c>
      <c r="F116" s="58" t="s">
        <v>485</v>
      </c>
    </row>
    <row r="117" spans="3:6" ht="17" x14ac:dyDescent="0.2">
      <c r="C117" s="56">
        <v>45741</v>
      </c>
      <c r="D117" s="28" t="s">
        <v>536</v>
      </c>
      <c r="E117" s="57">
        <v>23</v>
      </c>
      <c r="F117" s="58" t="s">
        <v>485</v>
      </c>
    </row>
    <row r="118" spans="3:6" ht="17" x14ac:dyDescent="0.2">
      <c r="C118" s="56">
        <v>45742</v>
      </c>
      <c r="D118" s="28" t="s">
        <v>536</v>
      </c>
      <c r="E118" s="57">
        <v>23.666666666666668</v>
      </c>
      <c r="F118" s="58" t="s">
        <v>485</v>
      </c>
    </row>
    <row r="119" spans="3:6" ht="17" x14ac:dyDescent="0.2">
      <c r="C119" s="56">
        <v>45743</v>
      </c>
      <c r="D119" s="28" t="s">
        <v>536</v>
      </c>
      <c r="E119" s="57">
        <v>22</v>
      </c>
      <c r="F119" s="58" t="s">
        <v>485</v>
      </c>
    </row>
    <row r="120" spans="3:6" ht="17" x14ac:dyDescent="0.2">
      <c r="C120" s="56">
        <v>45744</v>
      </c>
      <c r="D120" s="28" t="s">
        <v>536</v>
      </c>
      <c r="E120" s="57">
        <v>21</v>
      </c>
      <c r="F120" s="58" t="s">
        <v>485</v>
      </c>
    </row>
    <row r="121" spans="3:6" ht="17" x14ac:dyDescent="0.2">
      <c r="C121" s="56">
        <v>45744</v>
      </c>
      <c r="D121" s="28" t="s">
        <v>542</v>
      </c>
      <c r="E121" s="57">
        <v>223.75</v>
      </c>
      <c r="F121" s="58"/>
    </row>
    <row r="122" spans="3:6" ht="17" x14ac:dyDescent="0.2">
      <c r="C122" s="56">
        <v>45744</v>
      </c>
      <c r="D122" s="28" t="s">
        <v>544</v>
      </c>
      <c r="E122" s="57">
        <v>116.66666666666667</v>
      </c>
      <c r="F122" s="58"/>
    </row>
    <row r="123" spans="3:6" ht="17" x14ac:dyDescent="0.2">
      <c r="C123" s="56">
        <v>45745</v>
      </c>
      <c r="D123" s="28" t="s">
        <v>545</v>
      </c>
      <c r="E123" s="57">
        <v>734.5</v>
      </c>
      <c r="F123" s="58"/>
    </row>
    <row r="124" spans="3:6" ht="17" x14ac:dyDescent="0.2">
      <c r="C124" s="56">
        <v>45745</v>
      </c>
      <c r="D124" s="28" t="s">
        <v>546</v>
      </c>
      <c r="E124" s="57">
        <v>259</v>
      </c>
      <c r="F124" s="58"/>
    </row>
    <row r="125" spans="3:6" ht="17" x14ac:dyDescent="0.2">
      <c r="C125" s="56">
        <v>45745</v>
      </c>
      <c r="D125" s="28" t="s">
        <v>547</v>
      </c>
      <c r="E125" s="57">
        <v>157.75</v>
      </c>
      <c r="F125" s="58"/>
    </row>
    <row r="126" spans="3:6" ht="34" x14ac:dyDescent="0.2">
      <c r="C126" s="56">
        <v>45746</v>
      </c>
      <c r="D126" s="28" t="s">
        <v>548</v>
      </c>
      <c r="E126" s="57">
        <v>156.25</v>
      </c>
      <c r="F126" s="58"/>
    </row>
    <row r="127" spans="3:6" ht="17" x14ac:dyDescent="0.2">
      <c r="C127" s="56">
        <v>45746</v>
      </c>
      <c r="D127" s="28" t="s">
        <v>549</v>
      </c>
      <c r="E127" s="57">
        <v>135.75</v>
      </c>
      <c r="F127" s="58"/>
    </row>
    <row r="128" spans="3:6" ht="17" x14ac:dyDescent="0.2">
      <c r="C128" s="56">
        <v>45746</v>
      </c>
      <c r="D128" s="28" t="s">
        <v>550</v>
      </c>
      <c r="E128" s="57">
        <v>231</v>
      </c>
      <c r="F128" s="58"/>
    </row>
    <row r="129" spans="3:6" ht="17" x14ac:dyDescent="0.2">
      <c r="C129" s="56">
        <v>45747</v>
      </c>
      <c r="D129" s="28" t="s">
        <v>551</v>
      </c>
      <c r="E129" s="57">
        <v>92.5</v>
      </c>
      <c r="F129" s="58"/>
    </row>
    <row r="130" spans="3:6" ht="17" x14ac:dyDescent="0.2">
      <c r="C130" s="56">
        <v>45747</v>
      </c>
      <c r="D130" s="28" t="s">
        <v>552</v>
      </c>
      <c r="E130" s="57">
        <v>37</v>
      </c>
      <c r="F130" s="58"/>
    </row>
    <row r="131" spans="3:6" ht="17" x14ac:dyDescent="0.2">
      <c r="C131" s="56">
        <v>45748</v>
      </c>
      <c r="D131" s="28" t="s">
        <v>536</v>
      </c>
      <c r="E131" s="57">
        <v>23</v>
      </c>
      <c r="F131" s="58" t="s">
        <v>485</v>
      </c>
    </row>
    <row r="132" spans="3:6" ht="17" x14ac:dyDescent="0.2">
      <c r="C132" s="56">
        <v>45749</v>
      </c>
      <c r="D132" s="28" t="s">
        <v>524</v>
      </c>
      <c r="E132" s="57">
        <v>499.56</v>
      </c>
      <c r="F132" s="58"/>
    </row>
    <row r="133" spans="3:6" ht="17" x14ac:dyDescent="0.2">
      <c r="C133" s="56">
        <v>45749</v>
      </c>
      <c r="D133" s="28" t="s">
        <v>536</v>
      </c>
      <c r="E133" s="57">
        <v>20.666666666666668</v>
      </c>
      <c r="F133" s="58" t="s">
        <v>485</v>
      </c>
    </row>
    <row r="134" spans="3:6" ht="17" x14ac:dyDescent="0.2">
      <c r="C134" s="56">
        <v>45750</v>
      </c>
      <c r="D134" s="28" t="s">
        <v>536</v>
      </c>
      <c r="E134" s="57">
        <v>21</v>
      </c>
      <c r="F134" s="58" t="s">
        <v>485</v>
      </c>
    </row>
    <row r="135" spans="3:6" ht="17" x14ac:dyDescent="0.2">
      <c r="C135" s="56">
        <v>45751</v>
      </c>
      <c r="D135" s="28" t="s">
        <v>536</v>
      </c>
      <c r="E135" s="57">
        <v>21.333333333333332</v>
      </c>
      <c r="F135" s="58" t="s">
        <v>485</v>
      </c>
    </row>
    <row r="136" spans="3:6" ht="17" x14ac:dyDescent="0.2">
      <c r="C136" s="56">
        <v>45752</v>
      </c>
      <c r="D136" s="28" t="s">
        <v>560</v>
      </c>
      <c r="E136" s="57">
        <v>60</v>
      </c>
      <c r="F136" s="58"/>
    </row>
    <row r="137" spans="3:6" ht="17" x14ac:dyDescent="0.2">
      <c r="C137" s="56">
        <v>45752</v>
      </c>
      <c r="D137" s="28" t="s">
        <v>561</v>
      </c>
      <c r="E137" s="57">
        <v>43.666666666666664</v>
      </c>
      <c r="F137" s="58"/>
    </row>
    <row r="138" spans="3:6" ht="17" x14ac:dyDescent="0.2">
      <c r="C138" s="56">
        <v>45752</v>
      </c>
      <c r="D138" s="28" t="s">
        <v>562</v>
      </c>
      <c r="E138" s="57">
        <v>176</v>
      </c>
      <c r="F138" s="58"/>
    </row>
    <row r="139" spans="3:6" ht="17" x14ac:dyDescent="0.2">
      <c r="C139" s="56">
        <v>45753</v>
      </c>
      <c r="D139" s="28" t="s">
        <v>563</v>
      </c>
      <c r="E139" s="57">
        <v>252.75</v>
      </c>
      <c r="F139" s="58"/>
    </row>
    <row r="140" spans="3:6" ht="17" x14ac:dyDescent="0.2">
      <c r="C140" s="56">
        <v>45754</v>
      </c>
      <c r="D140" s="28" t="s">
        <v>536</v>
      </c>
      <c r="E140" s="57">
        <v>20.333333333333332</v>
      </c>
      <c r="F140" s="58" t="s">
        <v>485</v>
      </c>
    </row>
    <row r="141" spans="3:6" ht="17" x14ac:dyDescent="0.2">
      <c r="C141" s="56">
        <v>45754</v>
      </c>
      <c r="D141" s="28" t="s">
        <v>585</v>
      </c>
      <c r="E141" s="57">
        <v>341.45</v>
      </c>
      <c r="F141" s="58"/>
    </row>
    <row r="142" spans="3:6" ht="17" x14ac:dyDescent="0.2">
      <c r="C142" s="56">
        <v>45754</v>
      </c>
      <c r="D142" s="28" t="s">
        <v>586</v>
      </c>
      <c r="E142" s="57">
        <v>80</v>
      </c>
      <c r="F142" s="58"/>
    </row>
    <row r="143" spans="3:6" ht="17" x14ac:dyDescent="0.2">
      <c r="C143" s="56">
        <v>45754</v>
      </c>
      <c r="D143" s="28" t="s">
        <v>587</v>
      </c>
      <c r="E143" s="57">
        <v>35</v>
      </c>
      <c r="F143" s="58"/>
    </row>
    <row r="144" spans="3:6" ht="17" x14ac:dyDescent="0.2">
      <c r="C144" s="56">
        <v>45755</v>
      </c>
      <c r="D144" s="28" t="s">
        <v>565</v>
      </c>
      <c r="E144" s="57">
        <v>52.333333333333329</v>
      </c>
      <c r="F144" s="58"/>
    </row>
    <row r="145" spans="3:6" ht="17" x14ac:dyDescent="0.2">
      <c r="C145" s="56">
        <v>45755</v>
      </c>
      <c r="D145" s="28" t="s">
        <v>564</v>
      </c>
      <c r="E145" s="57">
        <v>80</v>
      </c>
      <c r="F145" s="58"/>
    </row>
    <row r="146" spans="3:6" ht="17" x14ac:dyDescent="0.2">
      <c r="C146" s="56">
        <v>45756</v>
      </c>
      <c r="D146" s="28" t="s">
        <v>536</v>
      </c>
      <c r="E146" s="57">
        <v>23</v>
      </c>
      <c r="F146" s="58" t="s">
        <v>485</v>
      </c>
    </row>
    <row r="147" spans="3:6" ht="17" x14ac:dyDescent="0.2">
      <c r="C147" s="56">
        <v>45757</v>
      </c>
      <c r="D147" s="28" t="s">
        <v>554</v>
      </c>
      <c r="E147" s="57">
        <v>-9000</v>
      </c>
      <c r="F147" s="58"/>
    </row>
    <row r="148" spans="3:6" ht="17" x14ac:dyDescent="0.2">
      <c r="C148" s="56">
        <v>45757</v>
      </c>
      <c r="D148" s="28" t="s">
        <v>536</v>
      </c>
      <c r="E148" s="57">
        <v>24</v>
      </c>
      <c r="F148" s="58" t="s">
        <v>485</v>
      </c>
    </row>
    <row r="149" spans="3:6" ht="17" x14ac:dyDescent="0.2">
      <c r="C149" s="56">
        <v>45757</v>
      </c>
      <c r="D149" s="28" t="s">
        <v>566</v>
      </c>
      <c r="E149" s="57">
        <v>41.666666666666664</v>
      </c>
      <c r="F149" s="58"/>
    </row>
    <row r="150" spans="3:6" ht="17" x14ac:dyDescent="0.2">
      <c r="C150" s="56">
        <v>45758</v>
      </c>
      <c r="D150" s="28" t="s">
        <v>536</v>
      </c>
      <c r="E150" s="57">
        <v>22.666666666666668</v>
      </c>
      <c r="F150" s="58" t="s">
        <v>485</v>
      </c>
    </row>
    <row r="151" spans="3:6" ht="17" x14ac:dyDescent="0.2">
      <c r="C151" s="56">
        <v>45759</v>
      </c>
      <c r="D151" s="28" t="s">
        <v>567</v>
      </c>
      <c r="E151" s="57">
        <v>219</v>
      </c>
      <c r="F151" s="58"/>
    </row>
    <row r="152" spans="3:6" ht="17" x14ac:dyDescent="0.2">
      <c r="C152" s="56">
        <v>45759</v>
      </c>
      <c r="D152" s="28" t="s">
        <v>568</v>
      </c>
      <c r="E152" s="57">
        <v>180</v>
      </c>
      <c r="F152" s="58"/>
    </row>
    <row r="153" spans="3:6" ht="17" x14ac:dyDescent="0.2">
      <c r="C153" s="56">
        <v>45761</v>
      </c>
      <c r="D153" s="28" t="s">
        <v>536</v>
      </c>
      <c r="E153" s="57">
        <v>25</v>
      </c>
      <c r="F153" s="58" t="s">
        <v>485</v>
      </c>
    </row>
    <row r="154" spans="3:6" ht="17" x14ac:dyDescent="0.2">
      <c r="C154" s="56">
        <v>45762</v>
      </c>
      <c r="D154" s="28" t="s">
        <v>536</v>
      </c>
      <c r="E154" s="57">
        <v>22.666666666666668</v>
      </c>
      <c r="F154" s="58" t="s">
        <v>485</v>
      </c>
    </row>
    <row r="155" spans="3:6" ht="17" x14ac:dyDescent="0.2">
      <c r="C155" s="56">
        <v>45763</v>
      </c>
      <c r="D155" s="28" t="s">
        <v>536</v>
      </c>
      <c r="E155" s="57">
        <v>24</v>
      </c>
      <c r="F155" s="58" t="s">
        <v>485</v>
      </c>
    </row>
    <row r="156" spans="3:6" ht="17" x14ac:dyDescent="0.2">
      <c r="C156" s="56">
        <v>45764</v>
      </c>
      <c r="D156" s="28" t="s">
        <v>536</v>
      </c>
      <c r="E156" s="57">
        <v>26.666666666666668</v>
      </c>
      <c r="F156" s="58" t="s">
        <v>485</v>
      </c>
    </row>
    <row r="157" spans="3:6" ht="17" x14ac:dyDescent="0.2">
      <c r="C157" s="56">
        <v>45764</v>
      </c>
      <c r="D157" s="28" t="s">
        <v>569</v>
      </c>
      <c r="E157" s="57">
        <v>235</v>
      </c>
      <c r="F157" s="58"/>
    </row>
    <row r="158" spans="3:6" ht="34" x14ac:dyDescent="0.2">
      <c r="C158" s="56">
        <v>45764</v>
      </c>
      <c r="D158" s="28" t="s">
        <v>570</v>
      </c>
      <c r="E158" s="57">
        <v>427</v>
      </c>
      <c r="F158" s="58"/>
    </row>
    <row r="159" spans="3:6" ht="17" x14ac:dyDescent="0.2">
      <c r="C159" s="56">
        <v>45765</v>
      </c>
      <c r="D159" s="28" t="s">
        <v>502</v>
      </c>
      <c r="E159" s="57">
        <v>2883.3333333333335</v>
      </c>
      <c r="F159" s="58"/>
    </row>
    <row r="160" spans="3:6" ht="17" x14ac:dyDescent="0.2">
      <c r="C160" s="56">
        <v>45765</v>
      </c>
      <c r="D160" s="28" t="s">
        <v>571</v>
      </c>
      <c r="E160" s="57">
        <v>82.5</v>
      </c>
      <c r="F160" s="58"/>
    </row>
    <row r="161" spans="3:6" ht="17" x14ac:dyDescent="0.2">
      <c r="C161" s="56">
        <v>45765</v>
      </c>
      <c r="D161" s="28" t="s">
        <v>572</v>
      </c>
      <c r="E161" s="57">
        <v>629.25</v>
      </c>
      <c r="F161" s="58"/>
    </row>
    <row r="162" spans="3:6" ht="17" x14ac:dyDescent="0.2">
      <c r="C162" s="56">
        <v>45766</v>
      </c>
      <c r="D162" s="28" t="s">
        <v>573</v>
      </c>
      <c r="E162" s="57">
        <v>324</v>
      </c>
      <c r="F162" s="58"/>
    </row>
    <row r="163" spans="3:6" ht="17" x14ac:dyDescent="0.2">
      <c r="C163" s="56">
        <v>45766</v>
      </c>
      <c r="D163" s="28" t="s">
        <v>574</v>
      </c>
      <c r="E163" s="57">
        <v>76</v>
      </c>
      <c r="F163" s="58"/>
    </row>
    <row r="164" spans="3:6" ht="17" x14ac:dyDescent="0.2">
      <c r="C164" s="56">
        <v>45766</v>
      </c>
      <c r="D164" s="28" t="s">
        <v>575</v>
      </c>
      <c r="E164" s="57">
        <v>56.5</v>
      </c>
      <c r="F164" s="58"/>
    </row>
    <row r="165" spans="3:6" ht="17" x14ac:dyDescent="0.2">
      <c r="C165" s="56">
        <v>45767</v>
      </c>
      <c r="D165" s="28" t="s">
        <v>576</v>
      </c>
      <c r="E165" s="57">
        <v>223.33333333333334</v>
      </c>
      <c r="F165" s="58"/>
    </row>
    <row r="166" spans="3:6" ht="17" x14ac:dyDescent="0.2">
      <c r="C166" s="56">
        <v>45769</v>
      </c>
      <c r="D166" s="28" t="s">
        <v>521</v>
      </c>
      <c r="E166" s="57">
        <v>157</v>
      </c>
      <c r="F166" s="58"/>
    </row>
    <row r="167" spans="3:6" ht="17" x14ac:dyDescent="0.2">
      <c r="C167" s="56">
        <v>45769</v>
      </c>
      <c r="D167" s="28" t="s">
        <v>577</v>
      </c>
      <c r="E167" s="57">
        <v>161</v>
      </c>
      <c r="F167" s="58"/>
    </row>
    <row r="168" spans="3:6" ht="17" x14ac:dyDescent="0.2">
      <c r="C168" s="56">
        <v>45770</v>
      </c>
      <c r="D168" s="28" t="s">
        <v>536</v>
      </c>
      <c r="E168" s="57">
        <v>27.666666666666668</v>
      </c>
      <c r="F168" s="58" t="s">
        <v>485</v>
      </c>
    </row>
    <row r="169" spans="3:6" ht="17" x14ac:dyDescent="0.2">
      <c r="C169" s="56">
        <v>45771</v>
      </c>
      <c r="D169" s="28" t="s">
        <v>578</v>
      </c>
      <c r="E169" s="57">
        <v>91</v>
      </c>
      <c r="F169" s="58"/>
    </row>
    <row r="170" spans="3:6" ht="17" x14ac:dyDescent="0.2">
      <c r="C170" s="56">
        <v>45771</v>
      </c>
      <c r="D170" s="28" t="s">
        <v>536</v>
      </c>
      <c r="E170" s="57">
        <v>25.666666666666668</v>
      </c>
      <c r="F170" s="58" t="s">
        <v>485</v>
      </c>
    </row>
    <row r="171" spans="3:6" ht="17" x14ac:dyDescent="0.2">
      <c r="C171" s="56">
        <v>45772</v>
      </c>
      <c r="D171" s="28" t="s">
        <v>536</v>
      </c>
      <c r="E171" s="57">
        <v>28.333333333333332</v>
      </c>
      <c r="F171" s="58" t="s">
        <v>485</v>
      </c>
    </row>
    <row r="172" spans="3:6" ht="17" x14ac:dyDescent="0.2">
      <c r="C172" s="56">
        <v>45773</v>
      </c>
      <c r="D172" s="28" t="s">
        <v>579</v>
      </c>
      <c r="E172" s="57">
        <v>165.33333333333334</v>
      </c>
      <c r="F172" s="58"/>
    </row>
    <row r="173" spans="3:6" ht="17" x14ac:dyDescent="0.2">
      <c r="C173" s="56">
        <v>45774</v>
      </c>
      <c r="D173" s="28" t="s">
        <v>581</v>
      </c>
      <c r="E173" s="57">
        <v>183.33333333333334</v>
      </c>
      <c r="F173" s="58"/>
    </row>
    <row r="174" spans="3:6" ht="17" x14ac:dyDescent="0.2">
      <c r="C174" s="56">
        <v>45774</v>
      </c>
      <c r="D174" s="28" t="s">
        <v>583</v>
      </c>
      <c r="E174" s="57">
        <v>148.66666666666666</v>
      </c>
      <c r="F174" s="58"/>
    </row>
    <row r="175" spans="3:6" ht="17" x14ac:dyDescent="0.2">
      <c r="C175" s="56">
        <v>45774</v>
      </c>
      <c r="D175" s="28" t="s">
        <v>584</v>
      </c>
      <c r="E175" s="57">
        <v>435.66666666666669</v>
      </c>
      <c r="F175" s="58"/>
    </row>
    <row r="176" spans="3:6" ht="17" x14ac:dyDescent="0.2">
      <c r="C176" s="56">
        <v>45775</v>
      </c>
      <c r="D176" s="28" t="s">
        <v>536</v>
      </c>
      <c r="E176" s="57">
        <v>25</v>
      </c>
      <c r="F176" s="58" t="s">
        <v>485</v>
      </c>
    </row>
    <row r="177" spans="3:6" ht="17" x14ac:dyDescent="0.2">
      <c r="C177" s="56">
        <v>45776</v>
      </c>
      <c r="D177" s="28" t="s">
        <v>536</v>
      </c>
      <c r="E177" s="57">
        <v>23.666666666666668</v>
      </c>
      <c r="F177" s="58" t="s">
        <v>485</v>
      </c>
    </row>
    <row r="178" spans="3:6" ht="17" x14ac:dyDescent="0.2">
      <c r="C178" s="56">
        <v>45777</v>
      </c>
      <c r="D178" s="28" t="s">
        <v>555</v>
      </c>
      <c r="E178" s="57">
        <v>444.33333333333331</v>
      </c>
      <c r="F178" s="58"/>
    </row>
    <row r="179" spans="3:6" ht="17" x14ac:dyDescent="0.2">
      <c r="C179" s="56">
        <v>45777</v>
      </c>
      <c r="D179" s="28" t="s">
        <v>536</v>
      </c>
      <c r="E179" s="57">
        <v>27</v>
      </c>
      <c r="F179" s="58" t="s">
        <v>485</v>
      </c>
    </row>
    <row r="180" spans="3:6" ht="17" x14ac:dyDescent="0.2">
      <c r="C180" s="56">
        <v>45777</v>
      </c>
      <c r="D180" s="28" t="s">
        <v>499</v>
      </c>
      <c r="E180" s="57">
        <v>103.66666666666667</v>
      </c>
      <c r="F180" s="58"/>
    </row>
    <row r="181" spans="3:6" ht="34" x14ac:dyDescent="0.2">
      <c r="C181" s="56">
        <v>45778</v>
      </c>
      <c r="D181" s="28" t="s">
        <v>590</v>
      </c>
      <c r="E181" s="57">
        <v>204.66666666666666</v>
      </c>
      <c r="F181" s="58"/>
    </row>
    <row r="182" spans="3:6" ht="17" x14ac:dyDescent="0.2">
      <c r="C182" s="56">
        <v>45779</v>
      </c>
      <c r="D182" s="28" t="s">
        <v>525</v>
      </c>
      <c r="E182" s="57">
        <v>499.56</v>
      </c>
      <c r="F182" s="58"/>
    </row>
    <row r="183" spans="3:6" ht="17" x14ac:dyDescent="0.2">
      <c r="C183" s="56">
        <v>45779</v>
      </c>
      <c r="D183" s="28" t="s">
        <v>536</v>
      </c>
      <c r="E183" s="57">
        <v>23.333333333333332</v>
      </c>
      <c r="F183" s="58" t="s">
        <v>485</v>
      </c>
    </row>
    <row r="184" spans="3:6" ht="17" x14ac:dyDescent="0.2">
      <c r="C184" s="56">
        <v>45780</v>
      </c>
      <c r="D184" s="28" t="s">
        <v>591</v>
      </c>
      <c r="E184" s="57">
        <v>164</v>
      </c>
      <c r="F184" s="58"/>
    </row>
    <row r="185" spans="3:6" ht="17" x14ac:dyDescent="0.2">
      <c r="C185" s="56">
        <v>45780</v>
      </c>
      <c r="D185" s="28" t="s">
        <v>593</v>
      </c>
      <c r="E185" s="57">
        <v>156.33333333333334</v>
      </c>
      <c r="F185" s="58"/>
    </row>
    <row r="186" spans="3:6" ht="17" x14ac:dyDescent="0.2">
      <c r="C186" s="56">
        <v>45780</v>
      </c>
      <c r="D186" s="28" t="s">
        <v>476</v>
      </c>
      <c r="E186" s="57">
        <v>121</v>
      </c>
      <c r="F186" s="58"/>
    </row>
    <row r="187" spans="3:6" ht="17" x14ac:dyDescent="0.2">
      <c r="C187" s="56">
        <v>45781</v>
      </c>
      <c r="D187" s="28" t="s">
        <v>595</v>
      </c>
      <c r="E187" s="57">
        <v>65</v>
      </c>
      <c r="F187" s="58"/>
    </row>
    <row r="188" spans="3:6" ht="17" x14ac:dyDescent="0.2">
      <c r="C188" s="56">
        <v>45782</v>
      </c>
      <c r="D188" s="28" t="s">
        <v>536</v>
      </c>
      <c r="E188" s="57">
        <v>28.333333333333332</v>
      </c>
      <c r="F188" s="58" t="s">
        <v>485</v>
      </c>
    </row>
    <row r="189" spans="3:6" ht="17" x14ac:dyDescent="0.2">
      <c r="C189" s="56">
        <v>45783</v>
      </c>
      <c r="D189" s="28" t="s">
        <v>536</v>
      </c>
      <c r="E189" s="57">
        <v>28.666666666666668</v>
      </c>
      <c r="F189" s="58" t="s">
        <v>485</v>
      </c>
    </row>
    <row r="190" spans="3:6" ht="17" x14ac:dyDescent="0.2">
      <c r="C190" s="56">
        <v>45783</v>
      </c>
      <c r="D190" s="28" t="s">
        <v>539</v>
      </c>
      <c r="E190" s="57">
        <v>369.5</v>
      </c>
      <c r="F190" s="58"/>
    </row>
    <row r="191" spans="3:6" x14ac:dyDescent="0.2">
      <c r="C191" s="56">
        <v>45784</v>
      </c>
      <c r="D191" s="60" t="s">
        <v>596</v>
      </c>
      <c r="E191" s="57">
        <v>27.666666666666668</v>
      </c>
      <c r="F191" s="58" t="s">
        <v>485</v>
      </c>
    </row>
    <row r="192" spans="3:6" ht="17" x14ac:dyDescent="0.2">
      <c r="C192" s="56">
        <v>45785</v>
      </c>
      <c r="D192" s="28" t="s">
        <v>597</v>
      </c>
      <c r="E192" s="57">
        <v>152.33333333333334</v>
      </c>
      <c r="F192" s="58"/>
    </row>
    <row r="193" spans="3:6" x14ac:dyDescent="0.2">
      <c r="C193" s="56">
        <v>45786</v>
      </c>
      <c r="D193" s="60" t="s">
        <v>596</v>
      </c>
      <c r="E193" s="57">
        <v>26</v>
      </c>
      <c r="F193" s="58" t="s">
        <v>485</v>
      </c>
    </row>
    <row r="194" spans="3:6" ht="17" x14ac:dyDescent="0.2">
      <c r="C194" s="56">
        <v>45787</v>
      </c>
      <c r="D194" s="28" t="s">
        <v>588</v>
      </c>
      <c r="E194" s="57">
        <v>266.33333333333331</v>
      </c>
      <c r="F194" s="58"/>
    </row>
    <row r="195" spans="3:6" x14ac:dyDescent="0.2">
      <c r="C195" s="56">
        <v>45789</v>
      </c>
      <c r="D195" s="60" t="s">
        <v>596</v>
      </c>
      <c r="E195" s="57">
        <v>26</v>
      </c>
      <c r="F195" s="58" t="s">
        <v>485</v>
      </c>
    </row>
    <row r="196" spans="3:6" ht="17" x14ac:dyDescent="0.2">
      <c r="C196" s="56">
        <v>45794</v>
      </c>
      <c r="D196" s="28" t="s">
        <v>598</v>
      </c>
      <c r="E196" s="57">
        <v>105</v>
      </c>
      <c r="F196" s="58"/>
    </row>
    <row r="197" spans="3:6" ht="17" x14ac:dyDescent="0.2">
      <c r="C197" s="56">
        <v>45794</v>
      </c>
      <c r="D197" s="28" t="s">
        <v>569</v>
      </c>
      <c r="E197" s="57">
        <v>245</v>
      </c>
      <c r="F197" s="58"/>
    </row>
    <row r="198" spans="3:6" ht="17" x14ac:dyDescent="0.2">
      <c r="C198" s="56">
        <v>45795</v>
      </c>
      <c r="D198" s="28" t="s">
        <v>502</v>
      </c>
      <c r="E198" s="57">
        <v>2763.3333333333335</v>
      </c>
      <c r="F198" s="58"/>
    </row>
    <row r="199" spans="3:6" ht="17" x14ac:dyDescent="0.2">
      <c r="C199" s="56">
        <v>45795</v>
      </c>
      <c r="D199" s="28" t="s">
        <v>51</v>
      </c>
      <c r="E199" s="57">
        <v>324.66666666666669</v>
      </c>
      <c r="F199" s="58"/>
    </row>
    <row r="200" spans="3:6" ht="17" x14ac:dyDescent="0.2">
      <c r="C200" s="56">
        <v>45795</v>
      </c>
      <c r="D200" s="28" t="s">
        <v>600</v>
      </c>
      <c r="E200" s="57">
        <v>280</v>
      </c>
      <c r="F200" s="58"/>
    </row>
    <row r="201" spans="3:6" x14ac:dyDescent="0.2">
      <c r="C201" s="56">
        <v>45796</v>
      </c>
      <c r="D201" s="60" t="s">
        <v>596</v>
      </c>
      <c r="E201" s="57">
        <v>25</v>
      </c>
      <c r="F201" s="58" t="s">
        <v>485</v>
      </c>
    </row>
    <row r="202" spans="3:6" x14ac:dyDescent="0.2">
      <c r="C202" s="56">
        <v>45797</v>
      </c>
      <c r="D202" s="60" t="s">
        <v>596</v>
      </c>
      <c r="E202" s="57">
        <v>28</v>
      </c>
      <c r="F202" s="58" t="s">
        <v>485</v>
      </c>
    </row>
    <row r="203" spans="3:6" x14ac:dyDescent="0.2">
      <c r="C203" s="56">
        <v>45798</v>
      </c>
      <c r="D203" s="60" t="s">
        <v>596</v>
      </c>
      <c r="E203" s="57">
        <v>25.666666666666668</v>
      </c>
      <c r="F203" s="58" t="s">
        <v>485</v>
      </c>
    </row>
    <row r="204" spans="3:6" ht="17" x14ac:dyDescent="0.2">
      <c r="C204" s="56">
        <v>45802</v>
      </c>
      <c r="D204" s="28" t="s">
        <v>502</v>
      </c>
      <c r="E204" s="57">
        <v>4560</v>
      </c>
      <c r="F204" s="58"/>
    </row>
    <row r="205" spans="3:6" ht="17" x14ac:dyDescent="0.2">
      <c r="C205" s="56">
        <v>45806</v>
      </c>
      <c r="D205" s="28" t="s">
        <v>602</v>
      </c>
      <c r="E205" s="57">
        <v>393.33333333333331</v>
      </c>
      <c r="F205" s="58"/>
    </row>
    <row r="206" spans="3:6" ht="17" x14ac:dyDescent="0.2">
      <c r="C206" s="56">
        <v>45810</v>
      </c>
      <c r="D206" s="28" t="s">
        <v>526</v>
      </c>
      <c r="E206" s="57">
        <v>499.56</v>
      </c>
      <c r="F206" s="58"/>
    </row>
    <row r="207" spans="3:6" x14ac:dyDescent="0.2">
      <c r="C207" s="56">
        <v>45810</v>
      </c>
      <c r="D207" s="60" t="s">
        <v>596</v>
      </c>
      <c r="E207" s="57">
        <v>32</v>
      </c>
      <c r="F207" s="58" t="s">
        <v>485</v>
      </c>
    </row>
    <row r="208" spans="3:6" ht="17" x14ac:dyDescent="0.2">
      <c r="C208" s="56">
        <v>45811</v>
      </c>
      <c r="D208" s="28" t="s">
        <v>604</v>
      </c>
      <c r="E208" s="57">
        <v>219</v>
      </c>
      <c r="F208" s="58"/>
    </row>
    <row r="209" spans="3:6" x14ac:dyDescent="0.2">
      <c r="C209" s="56">
        <v>45813</v>
      </c>
      <c r="D209" s="60" t="s">
        <v>596</v>
      </c>
      <c r="E209" s="57">
        <v>27</v>
      </c>
      <c r="F209" s="58" t="s">
        <v>485</v>
      </c>
    </row>
    <row r="210" spans="3:6" ht="17" x14ac:dyDescent="0.2">
      <c r="C210" s="56">
        <v>45833</v>
      </c>
      <c r="D210" s="28" t="s">
        <v>502</v>
      </c>
      <c r="E210" s="57">
        <v>2763.3333333333335</v>
      </c>
      <c r="F210" s="58"/>
    </row>
    <row r="211" spans="3:6" ht="17" x14ac:dyDescent="0.2">
      <c r="C211" s="56">
        <v>45815</v>
      </c>
      <c r="D211" s="28" t="s">
        <v>606</v>
      </c>
      <c r="E211" s="57">
        <v>177</v>
      </c>
      <c r="F211" s="58"/>
    </row>
    <row r="212" spans="3:6" x14ac:dyDescent="0.2">
      <c r="C212" s="56">
        <v>45814</v>
      </c>
      <c r="D212" s="60" t="s">
        <v>596</v>
      </c>
      <c r="E212" s="57">
        <v>30.333333333333332</v>
      </c>
      <c r="F212" s="58" t="s">
        <v>485</v>
      </c>
    </row>
    <row r="213" spans="3:6" ht="17" x14ac:dyDescent="0.2">
      <c r="C213" s="56">
        <v>45815</v>
      </c>
      <c r="D213" s="28" t="s">
        <v>607</v>
      </c>
      <c r="E213" s="57">
        <v>40</v>
      </c>
      <c r="F213" s="58"/>
    </row>
    <row r="214" spans="3:6" ht="17" x14ac:dyDescent="0.2">
      <c r="C214" s="56">
        <v>45815</v>
      </c>
      <c r="D214" s="28" t="s">
        <v>608</v>
      </c>
      <c r="E214" s="57">
        <v>89</v>
      </c>
      <c r="F214" s="58"/>
    </row>
    <row r="215" spans="3:6" ht="17" x14ac:dyDescent="0.2">
      <c r="C215" s="56">
        <v>45815</v>
      </c>
      <c r="D215" s="28" t="s">
        <v>467</v>
      </c>
      <c r="E215" s="57">
        <v>55</v>
      </c>
      <c r="F215" s="58"/>
    </row>
    <row r="216" spans="3:6" ht="34" x14ac:dyDescent="0.2">
      <c r="C216" s="56">
        <v>45816</v>
      </c>
      <c r="D216" s="28" t="s">
        <v>609</v>
      </c>
      <c r="E216" s="57">
        <v>208</v>
      </c>
      <c r="F216" s="58"/>
    </row>
    <row r="217" spans="3:6" x14ac:dyDescent="0.2">
      <c r="C217" s="56">
        <v>45817</v>
      </c>
      <c r="D217" s="60" t="s">
        <v>596</v>
      </c>
      <c r="E217" s="57">
        <v>21.333333333333332</v>
      </c>
      <c r="F217" s="58" t="s">
        <v>485</v>
      </c>
    </row>
    <row r="218" spans="3:6" ht="17" x14ac:dyDescent="0.2">
      <c r="C218" s="56">
        <v>45818</v>
      </c>
      <c r="D218" s="28" t="s">
        <v>610</v>
      </c>
      <c r="E218" s="57">
        <v>73.333333333333329</v>
      </c>
      <c r="F218" s="58"/>
    </row>
    <row r="219" spans="3:6" ht="17" x14ac:dyDescent="0.2">
      <c r="C219" s="56">
        <v>45814</v>
      </c>
      <c r="D219" s="28" t="s">
        <v>611</v>
      </c>
      <c r="E219" s="57">
        <v>42</v>
      </c>
      <c r="F219" s="58"/>
    </row>
    <row r="220" spans="3:6" ht="17" x14ac:dyDescent="0.2">
      <c r="C220" s="56">
        <v>45819</v>
      </c>
      <c r="D220" s="28" t="s">
        <v>499</v>
      </c>
      <c r="E220" s="57">
        <v>107</v>
      </c>
      <c r="F220" s="58"/>
    </row>
    <row r="221" spans="3:6" x14ac:dyDescent="0.2">
      <c r="C221" s="56">
        <v>45820</v>
      </c>
      <c r="D221" s="60" t="s">
        <v>596</v>
      </c>
      <c r="E221" s="57">
        <v>21</v>
      </c>
      <c r="F221" s="58" t="s">
        <v>485</v>
      </c>
    </row>
    <row r="222" spans="3:6" ht="17" x14ac:dyDescent="0.2">
      <c r="C222" s="56">
        <v>45820</v>
      </c>
      <c r="D222" s="28" t="s">
        <v>569</v>
      </c>
      <c r="E222" s="57">
        <v>197</v>
      </c>
      <c r="F222" s="58"/>
    </row>
    <row r="223" spans="3:6" x14ac:dyDescent="0.2">
      <c r="C223" s="56">
        <v>45821</v>
      </c>
      <c r="D223" s="60" t="s">
        <v>596</v>
      </c>
      <c r="E223" s="57">
        <v>20.333333333333332</v>
      </c>
      <c r="F223" s="58" t="s">
        <v>485</v>
      </c>
    </row>
    <row r="224" spans="3:6" x14ac:dyDescent="0.2">
      <c r="C224" s="56">
        <v>45825</v>
      </c>
      <c r="D224" s="60" t="s">
        <v>596</v>
      </c>
      <c r="E224" s="57">
        <v>20.666666666666668</v>
      </c>
      <c r="F224" s="58" t="s">
        <v>485</v>
      </c>
    </row>
    <row r="225" spans="3:6" ht="17" x14ac:dyDescent="0.2">
      <c r="C225" s="56">
        <v>45826</v>
      </c>
      <c r="D225" s="28" t="s">
        <v>613</v>
      </c>
      <c r="E225" s="57">
        <v>207.33333333333334</v>
      </c>
      <c r="F225" s="58"/>
    </row>
    <row r="226" spans="3:6" ht="17" x14ac:dyDescent="0.2">
      <c r="C226" s="56">
        <v>45826</v>
      </c>
      <c r="D226" s="28" t="s">
        <v>614</v>
      </c>
      <c r="E226" s="57">
        <v>325.33333333333331</v>
      </c>
      <c r="F226" s="58"/>
    </row>
    <row r="227" spans="3:6" ht="17" x14ac:dyDescent="0.2">
      <c r="C227" s="56">
        <v>45827</v>
      </c>
      <c r="D227" s="28" t="s">
        <v>499</v>
      </c>
      <c r="E227" s="57">
        <v>162.66666666666666</v>
      </c>
      <c r="F227" s="58"/>
    </row>
    <row r="228" spans="3:6" ht="17" x14ac:dyDescent="0.2">
      <c r="C228" s="56">
        <v>45828</v>
      </c>
      <c r="D228" s="28" t="s">
        <v>539</v>
      </c>
      <c r="E228" s="57">
        <v>376</v>
      </c>
      <c r="F228" s="58"/>
    </row>
    <row r="229" spans="3:6" ht="17" x14ac:dyDescent="0.2">
      <c r="C229" s="56">
        <v>45829</v>
      </c>
      <c r="D229" s="28" t="s">
        <v>615</v>
      </c>
      <c r="E229" s="57">
        <v>42.5</v>
      </c>
      <c r="F229" s="58"/>
    </row>
    <row r="230" spans="3:6" ht="17" x14ac:dyDescent="0.2">
      <c r="C230" s="56">
        <v>45829</v>
      </c>
      <c r="D230" s="28" t="s">
        <v>617</v>
      </c>
      <c r="E230" s="57">
        <v>77.75</v>
      </c>
      <c r="F230" s="58"/>
    </row>
    <row r="231" spans="3:6" ht="17" x14ac:dyDescent="0.2">
      <c r="C231" s="56">
        <v>45829</v>
      </c>
      <c r="D231" s="28" t="s">
        <v>618</v>
      </c>
      <c r="E231" s="57">
        <v>46.5</v>
      </c>
      <c r="F231" s="58"/>
    </row>
    <row r="232" spans="3:6" x14ac:dyDescent="0.2">
      <c r="C232" s="56">
        <v>45831</v>
      </c>
      <c r="D232" s="60" t="s">
        <v>596</v>
      </c>
      <c r="E232" s="57">
        <v>25</v>
      </c>
      <c r="F232" s="58" t="s">
        <v>485</v>
      </c>
    </row>
    <row r="233" spans="3:6" ht="17" x14ac:dyDescent="0.2">
      <c r="C233" s="56">
        <v>45832</v>
      </c>
      <c r="D233" s="28" t="s">
        <v>619</v>
      </c>
      <c r="E233" s="57">
        <v>131</v>
      </c>
      <c r="F233" s="58"/>
    </row>
    <row r="234" spans="3:6" ht="17" x14ac:dyDescent="0.2">
      <c r="C234" s="56">
        <v>45834</v>
      </c>
      <c r="D234" s="28" t="s">
        <v>620</v>
      </c>
      <c r="E234" s="57">
        <v>258</v>
      </c>
      <c r="F234" s="58"/>
    </row>
    <row r="235" spans="3:6" x14ac:dyDescent="0.2">
      <c r="C235" s="56">
        <v>45835</v>
      </c>
      <c r="D235" s="60" t="s">
        <v>596</v>
      </c>
      <c r="E235" s="57">
        <v>21</v>
      </c>
      <c r="F235" s="58" t="s">
        <v>485</v>
      </c>
    </row>
    <row r="236" spans="3:6" ht="17" x14ac:dyDescent="0.2">
      <c r="C236" s="56">
        <v>45835</v>
      </c>
      <c r="D236" s="28" t="s">
        <v>621</v>
      </c>
      <c r="E236" s="57">
        <v>80</v>
      </c>
      <c r="F236" s="58"/>
    </row>
    <row r="237" spans="3:6" ht="17" x14ac:dyDescent="0.2">
      <c r="C237" s="56">
        <v>45836</v>
      </c>
      <c r="D237" s="28" t="s">
        <v>622</v>
      </c>
      <c r="E237" s="57">
        <v>1920.3333333333333</v>
      </c>
      <c r="F237" s="58"/>
    </row>
    <row r="238" spans="3:6" ht="17" x14ac:dyDescent="0.2">
      <c r="C238" s="56">
        <v>45836</v>
      </c>
      <c r="D238" s="28" t="s">
        <v>623</v>
      </c>
      <c r="E238" s="57">
        <v>288</v>
      </c>
      <c r="F238" s="58"/>
    </row>
    <row r="239" spans="3:6" ht="34" x14ac:dyDescent="0.2">
      <c r="C239" s="56">
        <v>45837</v>
      </c>
      <c r="D239" s="28" t="s">
        <v>624</v>
      </c>
      <c r="E239" s="57">
        <v>708.66666666666663</v>
      </c>
      <c r="F239" s="58"/>
    </row>
    <row r="240" spans="3:6" ht="17" x14ac:dyDescent="0.2">
      <c r="C240" s="56">
        <v>45838</v>
      </c>
      <c r="D240" s="28" t="s">
        <v>653</v>
      </c>
      <c r="E240" s="57">
        <v>238.33333333333334</v>
      </c>
      <c r="F240" s="58"/>
    </row>
    <row r="241" spans="3:6" ht="17" x14ac:dyDescent="0.2">
      <c r="C241" s="56">
        <v>45838</v>
      </c>
      <c r="D241" s="28" t="s">
        <v>499</v>
      </c>
      <c r="E241" s="57">
        <v>60.666666666666664</v>
      </c>
      <c r="F241" s="58"/>
    </row>
    <row r="242" spans="3:6" ht="17" x14ac:dyDescent="0.2">
      <c r="C242" s="56">
        <v>45839</v>
      </c>
      <c r="D242" s="28" t="s">
        <v>642</v>
      </c>
      <c r="E242" s="57">
        <v>222.66666666666666</v>
      </c>
      <c r="F242" s="58"/>
    </row>
    <row r="243" spans="3:6" ht="17" x14ac:dyDescent="0.2">
      <c r="C243" s="56">
        <v>45840</v>
      </c>
      <c r="D243" s="28" t="s">
        <v>499</v>
      </c>
      <c r="E243" s="57">
        <v>60.666666666666664</v>
      </c>
      <c r="F243" s="58"/>
    </row>
    <row r="244" spans="3:6" ht="17" x14ac:dyDescent="0.2">
      <c r="C244" s="56">
        <v>45840</v>
      </c>
      <c r="D244" s="28" t="s">
        <v>627</v>
      </c>
      <c r="E244" s="61">
        <v>179.66666666666666</v>
      </c>
      <c r="F244" s="62"/>
    </row>
    <row r="245" spans="3:6" ht="17" x14ac:dyDescent="0.2">
      <c r="C245" s="56">
        <v>45841</v>
      </c>
      <c r="D245" s="28" t="s">
        <v>499</v>
      </c>
      <c r="E245" s="57">
        <v>60.666666666666664</v>
      </c>
      <c r="F245" s="58"/>
    </row>
    <row r="246" spans="3:6" ht="34" x14ac:dyDescent="0.2">
      <c r="C246" s="56">
        <v>45841</v>
      </c>
      <c r="D246" s="28" t="s">
        <v>629</v>
      </c>
      <c r="E246" s="61">
        <v>463</v>
      </c>
      <c r="F246" s="62"/>
    </row>
    <row r="247" spans="3:6" ht="17" x14ac:dyDescent="0.2">
      <c r="C247" s="56">
        <v>45841</v>
      </c>
      <c r="D247" s="28" t="s">
        <v>644</v>
      </c>
      <c r="E247" s="57">
        <v>70</v>
      </c>
      <c r="F247" s="58"/>
    </row>
    <row r="248" spans="3:6" ht="17" x14ac:dyDescent="0.2">
      <c r="C248" s="56">
        <v>45841</v>
      </c>
      <c r="D248" s="28" t="s">
        <v>645</v>
      </c>
      <c r="E248" s="57">
        <v>53</v>
      </c>
      <c r="F248" s="58"/>
    </row>
    <row r="249" spans="3:6" ht="17" x14ac:dyDescent="0.2">
      <c r="C249" s="56">
        <v>45843</v>
      </c>
      <c r="D249" s="28" t="s">
        <v>626</v>
      </c>
      <c r="E249" s="57">
        <v>108.33333333333333</v>
      </c>
      <c r="F249" s="58"/>
    </row>
    <row r="250" spans="3:6" ht="17" x14ac:dyDescent="0.2">
      <c r="C250" s="56">
        <v>45844</v>
      </c>
      <c r="D250" s="28" t="s">
        <v>630</v>
      </c>
      <c r="E250" s="61">
        <v>402.33333333333331</v>
      </c>
      <c r="F250" s="62"/>
    </row>
    <row r="251" spans="3:6" ht="17" x14ac:dyDescent="0.2">
      <c r="C251" s="56">
        <v>45844</v>
      </c>
      <c r="D251" s="28" t="s">
        <v>646</v>
      </c>
      <c r="E251" s="57">
        <v>49</v>
      </c>
      <c r="F251" s="58"/>
    </row>
    <row r="252" spans="3:6" ht="17" x14ac:dyDescent="0.2">
      <c r="C252" s="56">
        <v>45845</v>
      </c>
      <c r="D252" s="28" t="s">
        <v>648</v>
      </c>
      <c r="E252" s="57">
        <v>70</v>
      </c>
      <c r="F252" s="58"/>
    </row>
    <row r="253" spans="3:6" ht="17" x14ac:dyDescent="0.2">
      <c r="C253" s="56">
        <v>45848</v>
      </c>
      <c r="D253" s="28" t="s">
        <v>650</v>
      </c>
      <c r="E253" s="57">
        <v>117</v>
      </c>
      <c r="F253" s="58"/>
    </row>
    <row r="254" spans="3:6" ht="35" x14ac:dyDescent="0.2">
      <c r="C254" s="56">
        <v>45850</v>
      </c>
      <c r="D254" s="28" t="s">
        <v>647</v>
      </c>
      <c r="E254" s="61">
        <v>320</v>
      </c>
      <c r="F254" s="62"/>
    </row>
    <row r="255" spans="3:6" ht="17" x14ac:dyDescent="0.2">
      <c r="C255" s="56">
        <v>45851</v>
      </c>
      <c r="D255" s="28" t="s">
        <v>641</v>
      </c>
      <c r="E255" s="57">
        <v>124</v>
      </c>
      <c r="F255" s="58"/>
    </row>
    <row r="256" spans="3:6" ht="17" x14ac:dyDescent="0.2">
      <c r="C256" s="56">
        <v>45855</v>
      </c>
      <c r="D256" s="28" t="s">
        <v>639</v>
      </c>
      <c r="E256" s="61">
        <v>90</v>
      </c>
      <c r="F256" s="62"/>
    </row>
    <row r="257" spans="3:6" ht="17" x14ac:dyDescent="0.2">
      <c r="C257" s="56">
        <v>45860</v>
      </c>
      <c r="D257" s="28" t="s">
        <v>631</v>
      </c>
      <c r="E257" s="61">
        <v>3733.3333333333335</v>
      </c>
      <c r="F257" s="62"/>
    </row>
    <row r="258" spans="3:6" ht="17" x14ac:dyDescent="0.2">
      <c r="C258" s="56">
        <v>45860</v>
      </c>
      <c r="D258" s="28" t="s">
        <v>632</v>
      </c>
      <c r="E258" s="61">
        <v>173.33333333333334</v>
      </c>
      <c r="F258" s="62"/>
    </row>
    <row r="259" spans="3:6" ht="17" x14ac:dyDescent="0.2">
      <c r="C259" s="56">
        <v>45862</v>
      </c>
      <c r="D259" s="28" t="s">
        <v>499</v>
      </c>
      <c r="E259" s="57">
        <v>73.333333333333329</v>
      </c>
      <c r="F259" s="58"/>
    </row>
    <row r="260" spans="3:6" ht="17" x14ac:dyDescent="0.2">
      <c r="C260" s="56">
        <v>45862</v>
      </c>
      <c r="D260" s="28" t="s">
        <v>633</v>
      </c>
      <c r="E260" s="61">
        <v>256.66666666666669</v>
      </c>
      <c r="F260" s="62"/>
    </row>
    <row r="261" spans="3:6" ht="17" x14ac:dyDescent="0.2">
      <c r="C261" s="56">
        <v>45862</v>
      </c>
      <c r="D261" s="28" t="s">
        <v>638</v>
      </c>
      <c r="E261" s="61">
        <v>70</v>
      </c>
      <c r="F261" s="62"/>
    </row>
    <row r="262" spans="3:6" ht="17" x14ac:dyDescent="0.2">
      <c r="C262" s="56">
        <v>45865</v>
      </c>
      <c r="D262" s="28" t="s">
        <v>634</v>
      </c>
      <c r="E262" s="61">
        <v>36.333333333333336</v>
      </c>
      <c r="F262" s="62"/>
    </row>
    <row r="263" spans="3:6" ht="17" x14ac:dyDescent="0.2">
      <c r="C263" s="56">
        <v>45869</v>
      </c>
      <c r="D263" s="28" t="s">
        <v>635</v>
      </c>
      <c r="E263" s="61">
        <v>163.33333333333334</v>
      </c>
      <c r="F263" s="62"/>
    </row>
    <row r="264" spans="3:6" ht="17" x14ac:dyDescent="0.2">
      <c r="C264" s="56">
        <v>45871</v>
      </c>
      <c r="D264" s="28" t="s">
        <v>636</v>
      </c>
      <c r="E264" s="61">
        <v>393.33333333333331</v>
      </c>
      <c r="F264" s="62"/>
    </row>
    <row r="265" spans="3:6" ht="17" x14ac:dyDescent="0.2">
      <c r="C265" s="56">
        <v>45875</v>
      </c>
      <c r="D265" s="28" t="s">
        <v>637</v>
      </c>
      <c r="E265" s="61">
        <v>60.333333333333336</v>
      </c>
      <c r="F265" s="62"/>
    </row>
    <row r="266" spans="3:6" ht="17" x14ac:dyDescent="0.2">
      <c r="C266" s="56">
        <v>45875</v>
      </c>
      <c r="D266" s="28" t="s">
        <v>640</v>
      </c>
      <c r="E266" s="57">
        <v>68.666666666666671</v>
      </c>
      <c r="F266" s="58"/>
    </row>
    <row r="267" spans="3:6" ht="17" x14ac:dyDescent="0.2">
      <c r="C267" s="56">
        <v>45876</v>
      </c>
      <c r="D267" s="28" t="s">
        <v>643</v>
      </c>
      <c r="E267" s="57">
        <v>170.44444444444446</v>
      </c>
      <c r="F267" s="58"/>
    </row>
    <row r="268" spans="3:6" ht="17" x14ac:dyDescent="0.2">
      <c r="C268" s="56">
        <v>45874</v>
      </c>
      <c r="D268" s="28" t="s">
        <v>651</v>
      </c>
      <c r="E268" s="57">
        <v>-8733.17</v>
      </c>
      <c r="F268" s="5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EB819-7068-F74B-A918-990EDD075E47}">
  <dimension ref="C1:F268"/>
  <sheetViews>
    <sheetView showGridLines="0" workbookViewId="0">
      <selection activeCell="D187" sqref="D187"/>
    </sheetView>
  </sheetViews>
  <sheetFormatPr baseColWidth="10" defaultRowHeight="16" x14ac:dyDescent="0.2"/>
  <cols>
    <col min="1" max="2" width="1" customWidth="1"/>
    <col min="3" max="3" width="26.1640625" bestFit="1" customWidth="1"/>
    <col min="4" max="4" width="60" customWidth="1"/>
    <col min="5" max="5" width="9.83203125" bestFit="1" customWidth="1"/>
  </cols>
  <sheetData>
    <row r="1" spans="3:6" ht="3" customHeight="1" x14ac:dyDescent="0.2"/>
    <row r="2" spans="3:6" ht="3" customHeight="1" x14ac:dyDescent="0.2"/>
    <row r="3" spans="3:6" x14ac:dyDescent="0.2">
      <c r="C3" s="55" t="s">
        <v>4</v>
      </c>
      <c r="D3" s="55" t="s">
        <v>431</v>
      </c>
      <c r="E3" s="55" t="s">
        <v>434</v>
      </c>
      <c r="F3" s="55" t="s">
        <v>432</v>
      </c>
    </row>
    <row r="4" spans="3:6" ht="17" x14ac:dyDescent="0.2">
      <c r="C4" s="56">
        <v>45670</v>
      </c>
      <c r="D4" s="28" t="s">
        <v>437</v>
      </c>
      <c r="E4" s="57">
        <v>225</v>
      </c>
      <c r="F4" s="58"/>
    </row>
    <row r="5" spans="3:6" ht="17" x14ac:dyDescent="0.2">
      <c r="C5" s="56">
        <v>45670</v>
      </c>
      <c r="D5" s="28" t="s">
        <v>438</v>
      </c>
      <c r="E5" s="57">
        <v>98.333333333333329</v>
      </c>
      <c r="F5" s="58"/>
    </row>
    <row r="6" spans="3:6" ht="17" x14ac:dyDescent="0.2">
      <c r="C6" s="56">
        <v>45670</v>
      </c>
      <c r="D6" s="28" t="s">
        <v>439</v>
      </c>
      <c r="E6" s="57">
        <v>14.333333333333334</v>
      </c>
      <c r="F6" s="58"/>
    </row>
    <row r="7" spans="3:6" ht="17" x14ac:dyDescent="0.2">
      <c r="C7" s="56">
        <v>45671</v>
      </c>
      <c r="D7" s="28" t="s">
        <v>440</v>
      </c>
      <c r="E7" s="57">
        <v>75</v>
      </c>
      <c r="F7" s="58"/>
    </row>
    <row r="8" spans="3:6" ht="17" x14ac:dyDescent="0.2">
      <c r="C8" s="56">
        <v>45671</v>
      </c>
      <c r="D8" s="28" t="s">
        <v>441</v>
      </c>
      <c r="E8" s="57">
        <v>26.666666666666668</v>
      </c>
      <c r="F8" s="58"/>
    </row>
    <row r="9" spans="3:6" ht="34" x14ac:dyDescent="0.2">
      <c r="C9" s="56">
        <v>45671</v>
      </c>
      <c r="D9" s="28" t="s">
        <v>442</v>
      </c>
      <c r="E9" s="57">
        <v>180</v>
      </c>
      <c r="F9" s="58"/>
    </row>
    <row r="10" spans="3:6" ht="17" x14ac:dyDescent="0.2">
      <c r="C10" s="56">
        <v>45671</v>
      </c>
      <c r="D10" s="28" t="s">
        <v>443</v>
      </c>
      <c r="E10" s="57">
        <v>853.33333333333337</v>
      </c>
      <c r="F10" s="58"/>
    </row>
    <row r="11" spans="3:6" ht="17" x14ac:dyDescent="0.2">
      <c r="C11" s="56">
        <v>45671</v>
      </c>
      <c r="D11" s="28" t="s">
        <v>444</v>
      </c>
      <c r="E11" s="57">
        <v>196.66666666666666</v>
      </c>
      <c r="F11" s="58"/>
    </row>
    <row r="12" spans="3:6" ht="17" x14ac:dyDescent="0.2">
      <c r="C12" s="56">
        <v>45671</v>
      </c>
      <c r="D12" s="28" t="s">
        <v>445</v>
      </c>
      <c r="E12" s="57">
        <v>20</v>
      </c>
      <c r="F12" s="58"/>
    </row>
    <row r="13" spans="3:6" ht="17" x14ac:dyDescent="0.2">
      <c r="C13" s="56">
        <v>45671</v>
      </c>
      <c r="D13" s="28" t="s">
        <v>446</v>
      </c>
      <c r="E13" s="57">
        <v>118.33333333333333</v>
      </c>
      <c r="F13" s="58"/>
    </row>
    <row r="14" spans="3:6" ht="17" x14ac:dyDescent="0.2">
      <c r="C14" s="56">
        <v>45671</v>
      </c>
      <c r="D14" s="28" t="s">
        <v>447</v>
      </c>
      <c r="E14" s="57">
        <v>243.33333333333334</v>
      </c>
      <c r="F14" s="58"/>
    </row>
    <row r="15" spans="3:6" ht="17" x14ac:dyDescent="0.2">
      <c r="C15" s="56">
        <v>45672</v>
      </c>
      <c r="D15" s="28" t="s">
        <v>448</v>
      </c>
      <c r="E15" s="57">
        <v>134.5</v>
      </c>
      <c r="F15" s="58"/>
    </row>
    <row r="16" spans="3:6" ht="17" x14ac:dyDescent="0.2">
      <c r="C16" s="56">
        <v>45672</v>
      </c>
      <c r="D16" s="28" t="s">
        <v>449</v>
      </c>
      <c r="E16" s="57">
        <v>90</v>
      </c>
      <c r="F16" s="58"/>
    </row>
    <row r="17" spans="3:6" ht="17" x14ac:dyDescent="0.2">
      <c r="C17" s="56">
        <v>45672</v>
      </c>
      <c r="D17" s="28" t="s">
        <v>450</v>
      </c>
      <c r="E17" s="57">
        <v>128.33333333333334</v>
      </c>
      <c r="F17" s="58"/>
    </row>
    <row r="18" spans="3:6" ht="17" x14ac:dyDescent="0.2">
      <c r="C18" s="56">
        <v>45672</v>
      </c>
      <c r="D18" s="28" t="s">
        <v>452</v>
      </c>
      <c r="E18" s="59">
        <v>60.666666666666664</v>
      </c>
      <c r="F18" s="58"/>
    </row>
    <row r="19" spans="3:6" ht="17" x14ac:dyDescent="0.2">
      <c r="C19" s="56">
        <v>45672</v>
      </c>
      <c r="D19" s="28" t="s">
        <v>453</v>
      </c>
      <c r="E19" s="57">
        <v>95</v>
      </c>
      <c r="F19" s="58"/>
    </row>
    <row r="20" spans="3:6" ht="17" x14ac:dyDescent="0.2">
      <c r="C20" s="56">
        <v>45672</v>
      </c>
      <c r="D20" s="28" t="s">
        <v>454</v>
      </c>
      <c r="E20" s="57">
        <v>80</v>
      </c>
      <c r="F20" s="58"/>
    </row>
    <row r="21" spans="3:6" ht="17" x14ac:dyDescent="0.2">
      <c r="C21" s="56">
        <v>45672</v>
      </c>
      <c r="D21" s="28" t="s">
        <v>144</v>
      </c>
      <c r="E21" s="57">
        <v>83.333333333333329</v>
      </c>
      <c r="F21" s="58"/>
    </row>
    <row r="22" spans="3:6" ht="17" x14ac:dyDescent="0.2">
      <c r="C22" s="56">
        <v>45673</v>
      </c>
      <c r="D22" s="28" t="s">
        <v>455</v>
      </c>
      <c r="E22" s="57">
        <v>41.666666666666664</v>
      </c>
      <c r="F22" s="58"/>
    </row>
    <row r="23" spans="3:6" ht="17" x14ac:dyDescent="0.2">
      <c r="C23" s="56">
        <v>45673</v>
      </c>
      <c r="D23" s="28" t="s">
        <v>456</v>
      </c>
      <c r="E23" s="57">
        <v>44.333333333333336</v>
      </c>
      <c r="F23" s="58"/>
    </row>
    <row r="24" spans="3:6" ht="17" x14ac:dyDescent="0.2">
      <c r="C24" s="56">
        <v>45673</v>
      </c>
      <c r="D24" s="28" t="s">
        <v>457</v>
      </c>
      <c r="E24" s="57">
        <v>50</v>
      </c>
      <c r="F24" s="58"/>
    </row>
    <row r="25" spans="3:6" ht="17" x14ac:dyDescent="0.2">
      <c r="C25" s="56">
        <v>45673</v>
      </c>
      <c r="D25" s="28" t="s">
        <v>458</v>
      </c>
      <c r="E25" s="57">
        <v>193.33333333333334</v>
      </c>
      <c r="F25" s="58"/>
    </row>
    <row r="26" spans="3:6" ht="17" x14ac:dyDescent="0.2">
      <c r="C26" s="56">
        <v>45673</v>
      </c>
      <c r="D26" s="28" t="s">
        <v>459</v>
      </c>
      <c r="E26" s="57">
        <v>140</v>
      </c>
      <c r="F26" s="58"/>
    </row>
    <row r="27" spans="3:6" ht="17" x14ac:dyDescent="0.2">
      <c r="C27" s="56">
        <v>45673</v>
      </c>
      <c r="D27" s="28" t="s">
        <v>486</v>
      </c>
      <c r="E27" s="57">
        <v>500</v>
      </c>
      <c r="F27" s="58"/>
    </row>
    <row r="28" spans="3:6" ht="17" x14ac:dyDescent="0.2">
      <c r="C28" s="56">
        <v>45674</v>
      </c>
      <c r="D28" s="28" t="s">
        <v>460</v>
      </c>
      <c r="E28" s="57">
        <v>105</v>
      </c>
      <c r="F28" s="58"/>
    </row>
    <row r="29" spans="3:6" ht="17" x14ac:dyDescent="0.2">
      <c r="C29" s="56">
        <v>45676</v>
      </c>
      <c r="D29" s="28" t="s">
        <v>461</v>
      </c>
      <c r="E29" s="57">
        <v>219.33333333333334</v>
      </c>
      <c r="F29" s="58"/>
    </row>
    <row r="30" spans="3:6" ht="17" x14ac:dyDescent="0.2">
      <c r="C30" s="56">
        <v>45676</v>
      </c>
      <c r="D30" s="28" t="s">
        <v>451</v>
      </c>
      <c r="E30" s="57">
        <v>90.666666666666671</v>
      </c>
      <c r="F30" s="58"/>
    </row>
    <row r="31" spans="3:6" ht="17" x14ac:dyDescent="0.2">
      <c r="C31" s="56">
        <v>45676</v>
      </c>
      <c r="D31" s="28" t="s">
        <v>462</v>
      </c>
      <c r="E31" s="57">
        <v>145.66666666666666</v>
      </c>
      <c r="F31" s="58"/>
    </row>
    <row r="32" spans="3:6" ht="17" x14ac:dyDescent="0.2">
      <c r="C32" s="56">
        <v>45676</v>
      </c>
      <c r="D32" s="28" t="s">
        <v>463</v>
      </c>
      <c r="E32" s="57">
        <v>283</v>
      </c>
      <c r="F32" s="58"/>
    </row>
    <row r="33" spans="3:6" ht="34" x14ac:dyDescent="0.2">
      <c r="C33" s="56">
        <v>45676</v>
      </c>
      <c r="D33" s="28" t="s">
        <v>465</v>
      </c>
      <c r="E33" s="57">
        <v>184.33333333333334</v>
      </c>
      <c r="F33" s="58"/>
    </row>
    <row r="34" spans="3:6" ht="34" x14ac:dyDescent="0.2">
      <c r="C34" s="56">
        <v>45677</v>
      </c>
      <c r="D34" s="28" t="s">
        <v>466</v>
      </c>
      <c r="E34" s="57">
        <v>267.33333333333331</v>
      </c>
      <c r="F34" s="58"/>
    </row>
    <row r="35" spans="3:6" ht="17" x14ac:dyDescent="0.2">
      <c r="C35" s="56">
        <v>45677</v>
      </c>
      <c r="D35" s="28" t="s">
        <v>467</v>
      </c>
      <c r="E35" s="57">
        <v>57.333333333333336</v>
      </c>
      <c r="F35" s="58"/>
    </row>
    <row r="36" spans="3:6" ht="17" x14ac:dyDescent="0.2">
      <c r="C36" s="56">
        <v>45677</v>
      </c>
      <c r="D36" s="28" t="s">
        <v>468</v>
      </c>
      <c r="E36" s="57">
        <v>77.666666666666671</v>
      </c>
      <c r="F36" s="58"/>
    </row>
    <row r="37" spans="3:6" ht="17" x14ac:dyDescent="0.2">
      <c r="C37" s="56">
        <v>45677</v>
      </c>
      <c r="D37" s="28" t="s">
        <v>482</v>
      </c>
      <c r="E37" s="57">
        <v>433.33333333333331</v>
      </c>
      <c r="F37" s="58"/>
    </row>
    <row r="38" spans="3:6" ht="17" x14ac:dyDescent="0.2">
      <c r="C38" s="56">
        <v>45678</v>
      </c>
      <c r="D38" s="28" t="s">
        <v>470</v>
      </c>
      <c r="E38" s="57">
        <v>1180</v>
      </c>
      <c r="F38" s="58"/>
    </row>
    <row r="39" spans="3:6" ht="17" x14ac:dyDescent="0.2">
      <c r="C39" s="56">
        <v>45679</v>
      </c>
      <c r="D39" s="28" t="s">
        <v>471</v>
      </c>
      <c r="E39" s="57">
        <v>53.333333333333336</v>
      </c>
      <c r="F39" s="58"/>
    </row>
    <row r="40" spans="3:6" ht="17" x14ac:dyDescent="0.2">
      <c r="C40" s="56">
        <v>45679</v>
      </c>
      <c r="D40" s="28" t="s">
        <v>473</v>
      </c>
      <c r="E40" s="57">
        <v>36.666666666666664</v>
      </c>
      <c r="F40" s="58"/>
    </row>
    <row r="41" spans="3:6" ht="17" x14ac:dyDescent="0.2">
      <c r="C41" s="56">
        <v>45680</v>
      </c>
      <c r="D41" s="28" t="s">
        <v>476</v>
      </c>
      <c r="E41" s="57">
        <v>256</v>
      </c>
      <c r="F41" s="58"/>
    </row>
    <row r="42" spans="3:6" ht="17" x14ac:dyDescent="0.2">
      <c r="C42" s="56">
        <v>45680</v>
      </c>
      <c r="D42" s="28" t="s">
        <v>474</v>
      </c>
      <c r="E42" s="57">
        <v>223</v>
      </c>
      <c r="F42" s="58"/>
    </row>
    <row r="43" spans="3:6" ht="34" x14ac:dyDescent="0.2">
      <c r="C43" s="56">
        <v>45680</v>
      </c>
      <c r="D43" s="28" t="s">
        <v>477</v>
      </c>
      <c r="E43" s="57">
        <v>265.33333333333331</v>
      </c>
      <c r="F43" s="58"/>
    </row>
    <row r="44" spans="3:6" ht="17" x14ac:dyDescent="0.2">
      <c r="C44" s="56">
        <v>45682</v>
      </c>
      <c r="D44" s="28" t="s">
        <v>479</v>
      </c>
      <c r="E44" s="57">
        <v>216.5</v>
      </c>
      <c r="F44" s="58"/>
    </row>
    <row r="45" spans="3:6" ht="17" x14ac:dyDescent="0.2">
      <c r="C45" s="56">
        <v>45683</v>
      </c>
      <c r="D45" s="28" t="s">
        <v>480</v>
      </c>
      <c r="E45" s="57">
        <v>163.33333333333334</v>
      </c>
      <c r="F45" s="58"/>
    </row>
    <row r="46" spans="3:6" ht="17" x14ac:dyDescent="0.2">
      <c r="C46" s="56">
        <v>45683</v>
      </c>
      <c r="D46" s="28" t="s">
        <v>479</v>
      </c>
      <c r="E46" s="57">
        <v>216.66666666666666</v>
      </c>
      <c r="F46" s="58"/>
    </row>
    <row r="47" spans="3:6" ht="34" x14ac:dyDescent="0.2">
      <c r="C47" s="56">
        <v>45685</v>
      </c>
      <c r="D47" s="28" t="s">
        <v>652</v>
      </c>
      <c r="E47" s="57">
        <v>764.33333333333337</v>
      </c>
      <c r="F47" s="58"/>
    </row>
    <row r="48" spans="3:6" ht="17" x14ac:dyDescent="0.2">
      <c r="C48" s="56">
        <v>45685</v>
      </c>
      <c r="D48" s="28" t="s">
        <v>476</v>
      </c>
      <c r="E48" s="57">
        <v>56.333333333333336</v>
      </c>
      <c r="F48" s="58"/>
    </row>
    <row r="49" spans="3:6" ht="17" x14ac:dyDescent="0.2">
      <c r="C49" s="56">
        <v>45686</v>
      </c>
      <c r="D49" s="28" t="s">
        <v>483</v>
      </c>
      <c r="E49" s="57">
        <v>193.66666666666666</v>
      </c>
      <c r="F49" s="58"/>
    </row>
    <row r="50" spans="3:6" ht="17" x14ac:dyDescent="0.2">
      <c r="C50" s="56">
        <v>45687</v>
      </c>
      <c r="D50" s="28" t="s">
        <v>484</v>
      </c>
      <c r="E50" s="57">
        <v>436</v>
      </c>
      <c r="F50" s="58"/>
    </row>
    <row r="51" spans="3:6" ht="34" x14ac:dyDescent="0.2">
      <c r="C51" s="56">
        <v>45689</v>
      </c>
      <c r="D51" s="28" t="s">
        <v>487</v>
      </c>
      <c r="E51" s="57">
        <v>221.66666666666666</v>
      </c>
      <c r="F51" s="58"/>
    </row>
    <row r="52" spans="3:6" ht="17" x14ac:dyDescent="0.2">
      <c r="C52" s="56">
        <v>45689</v>
      </c>
      <c r="D52" s="28" t="s">
        <v>488</v>
      </c>
      <c r="E52" s="57">
        <v>282</v>
      </c>
      <c r="F52" s="58"/>
    </row>
    <row r="53" spans="3:6" ht="17" x14ac:dyDescent="0.2">
      <c r="C53" s="56">
        <v>45690</v>
      </c>
      <c r="D53" s="28" t="s">
        <v>489</v>
      </c>
      <c r="E53" s="57">
        <v>98.333333333333329</v>
      </c>
      <c r="F53" s="58"/>
    </row>
    <row r="54" spans="3:6" ht="17" x14ac:dyDescent="0.2">
      <c r="C54" s="56">
        <v>45691</v>
      </c>
      <c r="D54" s="28" t="s">
        <v>490</v>
      </c>
      <c r="E54" s="57">
        <v>131</v>
      </c>
      <c r="F54" s="58"/>
    </row>
    <row r="55" spans="3:6" ht="17" x14ac:dyDescent="0.2">
      <c r="C55" s="56">
        <v>45691</v>
      </c>
      <c r="D55" s="28" t="s">
        <v>491</v>
      </c>
      <c r="E55" s="57">
        <v>229</v>
      </c>
      <c r="F55" s="58"/>
    </row>
    <row r="56" spans="3:6" ht="17" x14ac:dyDescent="0.2">
      <c r="C56" s="56">
        <v>45695</v>
      </c>
      <c r="D56" s="28" t="s">
        <v>492</v>
      </c>
      <c r="E56" s="57">
        <v>33.333333333333336</v>
      </c>
      <c r="F56" s="58"/>
    </row>
    <row r="57" spans="3:6" ht="17" x14ac:dyDescent="0.2">
      <c r="C57" s="56">
        <v>45695</v>
      </c>
      <c r="D57" s="28" t="s">
        <v>494</v>
      </c>
      <c r="E57" s="57">
        <v>357.5</v>
      </c>
      <c r="F57" s="58"/>
    </row>
    <row r="58" spans="3:6" ht="17" x14ac:dyDescent="0.2">
      <c r="C58" s="56">
        <v>45696</v>
      </c>
      <c r="D58" s="28" t="s">
        <v>495</v>
      </c>
      <c r="E58" s="57">
        <v>161.66666666666666</v>
      </c>
      <c r="F58" s="58"/>
    </row>
    <row r="59" spans="3:6" ht="34" x14ac:dyDescent="0.2">
      <c r="C59" s="56">
        <v>45696</v>
      </c>
      <c r="D59" s="28" t="s">
        <v>496</v>
      </c>
      <c r="E59" s="57">
        <v>197.33333333333334</v>
      </c>
      <c r="F59" s="58"/>
    </row>
    <row r="60" spans="3:6" ht="17" x14ac:dyDescent="0.2">
      <c r="C60" s="56">
        <v>45699</v>
      </c>
      <c r="D60" s="28" t="s">
        <v>498</v>
      </c>
      <c r="E60" s="57">
        <v>56</v>
      </c>
      <c r="F60" s="58"/>
    </row>
    <row r="61" spans="3:6" ht="17" x14ac:dyDescent="0.2">
      <c r="C61" s="56">
        <v>45700</v>
      </c>
      <c r="D61" s="28" t="s">
        <v>499</v>
      </c>
      <c r="E61" s="57">
        <v>56.333333333333336</v>
      </c>
      <c r="F61" s="58"/>
    </row>
    <row r="62" spans="3:6" ht="17" x14ac:dyDescent="0.2">
      <c r="C62" s="56">
        <v>45701</v>
      </c>
      <c r="D62" s="28" t="s">
        <v>501</v>
      </c>
      <c r="E62" s="57">
        <v>53.666666666666664</v>
      </c>
      <c r="F62" s="58"/>
    </row>
    <row r="63" spans="3:6" ht="68" x14ac:dyDescent="0.2">
      <c r="C63" s="56">
        <v>45702</v>
      </c>
      <c r="D63" s="28" t="s">
        <v>503</v>
      </c>
      <c r="E63" s="57">
        <v>530</v>
      </c>
      <c r="F63" s="58"/>
    </row>
    <row r="64" spans="3:6" ht="17" x14ac:dyDescent="0.2">
      <c r="C64" s="56">
        <v>45703</v>
      </c>
      <c r="D64" s="28" t="s">
        <v>505</v>
      </c>
      <c r="E64" s="57">
        <v>42.333333333333336</v>
      </c>
      <c r="F64" s="58"/>
    </row>
    <row r="65" spans="3:6" ht="17" x14ac:dyDescent="0.2">
      <c r="C65" s="56">
        <v>45704</v>
      </c>
      <c r="D65" s="28" t="s">
        <v>506</v>
      </c>
      <c r="E65" s="57">
        <v>242</v>
      </c>
      <c r="F65" s="58"/>
    </row>
    <row r="66" spans="3:6" ht="17" x14ac:dyDescent="0.2">
      <c r="C66" s="56">
        <v>45705</v>
      </c>
      <c r="D66" s="28" t="s">
        <v>504</v>
      </c>
      <c r="E66" s="57">
        <v>65.666666666666671</v>
      </c>
      <c r="F66" s="58"/>
    </row>
    <row r="67" spans="3:6" ht="17" x14ac:dyDescent="0.2">
      <c r="C67" s="56">
        <v>45705</v>
      </c>
      <c r="D67" s="28" t="s">
        <v>509</v>
      </c>
      <c r="E67" s="57">
        <v>134.66666666666666</v>
      </c>
      <c r="F67" s="58"/>
    </row>
    <row r="68" spans="3:6" ht="17" x14ac:dyDescent="0.2">
      <c r="C68" s="56">
        <v>45706</v>
      </c>
      <c r="D68" s="28" t="s">
        <v>502</v>
      </c>
      <c r="E68" s="57">
        <v>1433.3333333333333</v>
      </c>
      <c r="F68" s="58"/>
    </row>
    <row r="69" spans="3:6" ht="17" x14ac:dyDescent="0.2">
      <c r="C69" s="56">
        <v>45706</v>
      </c>
      <c r="D69" s="28" t="s">
        <v>510</v>
      </c>
      <c r="E69" s="57">
        <v>150</v>
      </c>
      <c r="F69" s="58"/>
    </row>
    <row r="70" spans="3:6" ht="17" x14ac:dyDescent="0.2">
      <c r="C70" s="56">
        <v>45710</v>
      </c>
      <c r="D70" s="28" t="s">
        <v>516</v>
      </c>
      <c r="E70" s="57">
        <v>660.5</v>
      </c>
      <c r="F70" s="58"/>
    </row>
    <row r="71" spans="3:6" ht="17" x14ac:dyDescent="0.2">
      <c r="C71" s="56">
        <v>45710</v>
      </c>
      <c r="D71" s="28" t="s">
        <v>517</v>
      </c>
      <c r="E71" s="57">
        <v>134.5</v>
      </c>
      <c r="F71" s="58"/>
    </row>
    <row r="72" spans="3:6" ht="17" x14ac:dyDescent="0.2">
      <c r="C72" s="56">
        <v>45713</v>
      </c>
      <c r="D72" s="28" t="s">
        <v>519</v>
      </c>
      <c r="E72" s="57">
        <v>57.666666666666664</v>
      </c>
      <c r="F72" s="58"/>
    </row>
    <row r="73" spans="3:6" ht="34" x14ac:dyDescent="0.2">
      <c r="C73" s="56">
        <v>45714</v>
      </c>
      <c r="D73" s="28" t="s">
        <v>520</v>
      </c>
      <c r="E73" s="57">
        <v>180</v>
      </c>
      <c r="F73" s="58"/>
    </row>
    <row r="74" spans="3:6" ht="17" x14ac:dyDescent="0.2">
      <c r="C74" s="56">
        <v>45714</v>
      </c>
      <c r="D74" s="28" t="s">
        <v>521</v>
      </c>
      <c r="E74" s="57">
        <v>180</v>
      </c>
      <c r="F74" s="58"/>
    </row>
    <row r="75" spans="3:6" ht="17" x14ac:dyDescent="0.2">
      <c r="C75" s="56">
        <v>45714</v>
      </c>
      <c r="D75" s="28" t="s">
        <v>439</v>
      </c>
      <c r="E75" s="57">
        <v>22.333333333333332</v>
      </c>
      <c r="F75" s="58"/>
    </row>
    <row r="76" spans="3:6" ht="17" x14ac:dyDescent="0.2">
      <c r="C76" s="56">
        <v>45717</v>
      </c>
      <c r="D76" s="28" t="s">
        <v>534</v>
      </c>
      <c r="E76" s="57">
        <v>76.333333333333329</v>
      </c>
      <c r="F76" s="58"/>
    </row>
    <row r="77" spans="3:6" ht="34" x14ac:dyDescent="0.2">
      <c r="C77" s="56">
        <v>45718</v>
      </c>
      <c r="D77" s="28" t="s">
        <v>530</v>
      </c>
      <c r="E77" s="57">
        <v>277</v>
      </c>
      <c r="F77" s="58"/>
    </row>
    <row r="78" spans="3:6" ht="34" x14ac:dyDescent="0.2">
      <c r="C78" s="56">
        <v>45718</v>
      </c>
      <c r="D78" s="28" t="s">
        <v>531</v>
      </c>
      <c r="E78" s="57">
        <v>416</v>
      </c>
      <c r="F78" s="58"/>
    </row>
    <row r="79" spans="3:6" ht="17" x14ac:dyDescent="0.2">
      <c r="C79" s="56">
        <v>45725</v>
      </c>
      <c r="D79" s="28" t="s">
        <v>535</v>
      </c>
      <c r="E79" s="57">
        <v>60</v>
      </c>
      <c r="F79" s="58"/>
    </row>
    <row r="80" spans="3:6" ht="17" x14ac:dyDescent="0.2">
      <c r="C80" s="56">
        <v>45726</v>
      </c>
      <c r="D80" s="28" t="s">
        <v>554</v>
      </c>
      <c r="E80" s="57">
        <v>-10000</v>
      </c>
      <c r="F80" s="58"/>
    </row>
    <row r="81" spans="3:6" ht="17" x14ac:dyDescent="0.2">
      <c r="C81" s="56">
        <v>45726</v>
      </c>
      <c r="D81" s="28" t="s">
        <v>536</v>
      </c>
      <c r="E81" s="57">
        <v>24.666666666666668</v>
      </c>
      <c r="F81" s="58"/>
    </row>
    <row r="82" spans="3:6" ht="17" x14ac:dyDescent="0.2">
      <c r="C82" s="56">
        <v>45728</v>
      </c>
      <c r="D82" s="28" t="s">
        <v>536</v>
      </c>
      <c r="E82" s="57">
        <v>27</v>
      </c>
      <c r="F82" s="58"/>
    </row>
    <row r="83" spans="3:6" ht="17" x14ac:dyDescent="0.2">
      <c r="C83" s="56">
        <v>45733</v>
      </c>
      <c r="D83" s="28" t="s">
        <v>536</v>
      </c>
      <c r="E83" s="57">
        <v>26</v>
      </c>
      <c r="F83" s="58" t="s">
        <v>485</v>
      </c>
    </row>
    <row r="84" spans="3:6" ht="17" x14ac:dyDescent="0.2">
      <c r="C84" s="56">
        <v>45734</v>
      </c>
      <c r="D84" s="28" t="s">
        <v>502</v>
      </c>
      <c r="E84" s="57">
        <v>2736.6666666666665</v>
      </c>
      <c r="F84" s="58"/>
    </row>
    <row r="85" spans="3:6" ht="17" x14ac:dyDescent="0.2">
      <c r="C85" s="56">
        <v>45734</v>
      </c>
      <c r="D85" s="28" t="s">
        <v>536</v>
      </c>
      <c r="E85" s="57">
        <v>24.666666666666668</v>
      </c>
      <c r="F85" s="58" t="s">
        <v>485</v>
      </c>
    </row>
    <row r="86" spans="3:6" ht="17" x14ac:dyDescent="0.2">
      <c r="C86" s="56">
        <v>45735</v>
      </c>
      <c r="D86" s="28" t="s">
        <v>536</v>
      </c>
      <c r="E86" s="57">
        <v>22.666666666666668</v>
      </c>
      <c r="F86" s="58" t="s">
        <v>485</v>
      </c>
    </row>
    <row r="87" spans="3:6" ht="17" x14ac:dyDescent="0.2">
      <c r="C87" s="56">
        <v>45736</v>
      </c>
      <c r="D87" s="28" t="s">
        <v>536</v>
      </c>
      <c r="E87" s="57">
        <v>25</v>
      </c>
      <c r="F87" s="58" t="s">
        <v>485</v>
      </c>
    </row>
    <row r="88" spans="3:6" ht="17" x14ac:dyDescent="0.2">
      <c r="C88" s="56">
        <v>45737</v>
      </c>
      <c r="D88" s="28" t="s">
        <v>538</v>
      </c>
      <c r="E88" s="57">
        <v>90</v>
      </c>
      <c r="F88" s="58"/>
    </row>
    <row r="89" spans="3:6" ht="17" x14ac:dyDescent="0.2">
      <c r="C89" s="56">
        <v>45737</v>
      </c>
      <c r="D89" s="28" t="s">
        <v>536</v>
      </c>
      <c r="E89" s="57">
        <v>22</v>
      </c>
      <c r="F89" s="58" t="s">
        <v>485</v>
      </c>
    </row>
    <row r="90" spans="3:6" ht="17" x14ac:dyDescent="0.2">
      <c r="C90" s="56">
        <v>45740</v>
      </c>
      <c r="D90" s="28" t="s">
        <v>536</v>
      </c>
      <c r="E90" s="57">
        <v>23</v>
      </c>
      <c r="F90" s="58" t="s">
        <v>485</v>
      </c>
    </row>
    <row r="91" spans="3:6" ht="17" x14ac:dyDescent="0.2">
      <c r="C91" s="56">
        <v>45741</v>
      </c>
      <c r="D91" s="28" t="s">
        <v>536</v>
      </c>
      <c r="E91" s="57">
        <v>23</v>
      </c>
      <c r="F91" s="58" t="s">
        <v>485</v>
      </c>
    </row>
    <row r="92" spans="3:6" ht="17" x14ac:dyDescent="0.2">
      <c r="C92" s="56">
        <v>45742</v>
      </c>
      <c r="D92" s="28" t="s">
        <v>536</v>
      </c>
      <c r="E92" s="57">
        <v>23.666666666666668</v>
      </c>
      <c r="F92" s="58" t="s">
        <v>485</v>
      </c>
    </row>
    <row r="93" spans="3:6" ht="17" x14ac:dyDescent="0.2">
      <c r="C93" s="56">
        <v>45743</v>
      </c>
      <c r="D93" s="28" t="s">
        <v>536</v>
      </c>
      <c r="E93" s="57">
        <v>22</v>
      </c>
      <c r="F93" s="58" t="s">
        <v>485</v>
      </c>
    </row>
    <row r="94" spans="3:6" ht="17" x14ac:dyDescent="0.2">
      <c r="C94" s="56">
        <v>45744</v>
      </c>
      <c r="D94" s="28" t="s">
        <v>536</v>
      </c>
      <c r="E94" s="57">
        <v>21</v>
      </c>
      <c r="F94" s="58" t="s">
        <v>485</v>
      </c>
    </row>
    <row r="95" spans="3:6" ht="17" x14ac:dyDescent="0.2">
      <c r="C95" s="56">
        <v>45744</v>
      </c>
      <c r="D95" s="28" t="s">
        <v>542</v>
      </c>
      <c r="E95" s="57">
        <v>223.75</v>
      </c>
      <c r="F95" s="58"/>
    </row>
    <row r="96" spans="3:6" ht="17" x14ac:dyDescent="0.2">
      <c r="C96" s="56">
        <v>45744</v>
      </c>
      <c r="D96" s="28" t="s">
        <v>544</v>
      </c>
      <c r="E96" s="57">
        <v>116.66666666666667</v>
      </c>
      <c r="F96" s="58"/>
    </row>
    <row r="97" spans="3:6" ht="17" x14ac:dyDescent="0.2">
      <c r="C97" s="56">
        <v>45745</v>
      </c>
      <c r="D97" s="28" t="s">
        <v>545</v>
      </c>
      <c r="E97" s="57">
        <v>734.5</v>
      </c>
      <c r="F97" s="58"/>
    </row>
    <row r="98" spans="3:6" ht="17" x14ac:dyDescent="0.2">
      <c r="C98" s="56">
        <v>45745</v>
      </c>
      <c r="D98" s="28" t="s">
        <v>546</v>
      </c>
      <c r="E98" s="57">
        <v>259</v>
      </c>
      <c r="F98" s="58"/>
    </row>
    <row r="99" spans="3:6" ht="17" x14ac:dyDescent="0.2">
      <c r="C99" s="56">
        <v>45745</v>
      </c>
      <c r="D99" s="28" t="s">
        <v>547</v>
      </c>
      <c r="E99" s="57">
        <v>157.75</v>
      </c>
      <c r="F99" s="58"/>
    </row>
    <row r="100" spans="3:6" ht="34" x14ac:dyDescent="0.2">
      <c r="C100" s="56">
        <v>45746</v>
      </c>
      <c r="D100" s="28" t="s">
        <v>548</v>
      </c>
      <c r="E100" s="57">
        <v>156.25</v>
      </c>
      <c r="F100" s="58"/>
    </row>
    <row r="101" spans="3:6" ht="17" x14ac:dyDescent="0.2">
      <c r="C101" s="56">
        <v>45746</v>
      </c>
      <c r="D101" s="28" t="s">
        <v>549</v>
      </c>
      <c r="E101" s="57">
        <v>135.75</v>
      </c>
      <c r="F101" s="58"/>
    </row>
    <row r="102" spans="3:6" ht="17" x14ac:dyDescent="0.2">
      <c r="C102" s="56">
        <v>45747</v>
      </c>
      <c r="D102" s="28" t="s">
        <v>551</v>
      </c>
      <c r="E102" s="57">
        <v>92.5</v>
      </c>
      <c r="F102" s="58"/>
    </row>
    <row r="103" spans="3:6" ht="17" x14ac:dyDescent="0.2">
      <c r="C103" s="56">
        <v>45747</v>
      </c>
      <c r="D103" s="28" t="s">
        <v>552</v>
      </c>
      <c r="E103" s="57">
        <v>37</v>
      </c>
      <c r="F103" s="58"/>
    </row>
    <row r="104" spans="3:6" ht="17" x14ac:dyDescent="0.2">
      <c r="C104" s="56">
        <v>45748</v>
      </c>
      <c r="D104" s="28" t="s">
        <v>536</v>
      </c>
      <c r="E104" s="57">
        <v>23</v>
      </c>
      <c r="F104" s="58" t="s">
        <v>485</v>
      </c>
    </row>
    <row r="105" spans="3:6" ht="17" x14ac:dyDescent="0.2">
      <c r="C105" s="56">
        <v>45749</v>
      </c>
      <c r="D105" s="28" t="s">
        <v>536</v>
      </c>
      <c r="E105" s="57">
        <v>20.666666666666668</v>
      </c>
      <c r="F105" s="58" t="s">
        <v>485</v>
      </c>
    </row>
    <row r="106" spans="3:6" ht="17" x14ac:dyDescent="0.2">
      <c r="C106" s="56">
        <v>45750</v>
      </c>
      <c r="D106" s="28" t="s">
        <v>536</v>
      </c>
      <c r="E106" s="57">
        <v>21</v>
      </c>
      <c r="F106" s="58" t="s">
        <v>485</v>
      </c>
    </row>
    <row r="107" spans="3:6" ht="17" x14ac:dyDescent="0.2">
      <c r="C107" s="56">
        <v>45751</v>
      </c>
      <c r="D107" s="28" t="s">
        <v>536</v>
      </c>
      <c r="E107" s="57">
        <v>21.333333333333332</v>
      </c>
      <c r="F107" s="58" t="s">
        <v>485</v>
      </c>
    </row>
    <row r="108" spans="3:6" ht="17" x14ac:dyDescent="0.2">
      <c r="C108" s="56">
        <v>45752</v>
      </c>
      <c r="D108" s="28" t="s">
        <v>560</v>
      </c>
      <c r="E108" s="57">
        <v>40</v>
      </c>
      <c r="F108" s="58"/>
    </row>
    <row r="109" spans="3:6" ht="17" x14ac:dyDescent="0.2">
      <c r="C109" s="56">
        <v>45752</v>
      </c>
      <c r="D109" s="28" t="s">
        <v>561</v>
      </c>
      <c r="E109" s="57">
        <v>43.666666666666664</v>
      </c>
      <c r="F109" s="58"/>
    </row>
    <row r="110" spans="3:6" ht="17" x14ac:dyDescent="0.2">
      <c r="C110" s="56">
        <v>45752</v>
      </c>
      <c r="D110" s="28" t="s">
        <v>562</v>
      </c>
      <c r="E110" s="57">
        <v>176</v>
      </c>
      <c r="F110" s="58"/>
    </row>
    <row r="111" spans="3:6" ht="34" x14ac:dyDescent="0.2">
      <c r="C111" s="56">
        <v>45753</v>
      </c>
      <c r="D111" s="28" t="s">
        <v>563</v>
      </c>
      <c r="E111" s="57">
        <v>252.75</v>
      </c>
      <c r="F111" s="58"/>
    </row>
    <row r="112" spans="3:6" ht="17" x14ac:dyDescent="0.2">
      <c r="C112" s="56">
        <v>45754</v>
      </c>
      <c r="D112" s="28" t="s">
        <v>536</v>
      </c>
      <c r="E112" s="57">
        <v>20.333333333333332</v>
      </c>
      <c r="F112" s="58" t="s">
        <v>485</v>
      </c>
    </row>
    <row r="113" spans="3:6" ht="17" x14ac:dyDescent="0.2">
      <c r="C113" s="56">
        <v>45755</v>
      </c>
      <c r="D113" s="28" t="s">
        <v>565</v>
      </c>
      <c r="E113" s="57">
        <v>52.333333333333329</v>
      </c>
      <c r="F113" s="58"/>
    </row>
    <row r="114" spans="3:6" ht="17" x14ac:dyDescent="0.2">
      <c r="C114" s="56">
        <v>45755</v>
      </c>
      <c r="D114" s="28" t="s">
        <v>564</v>
      </c>
      <c r="E114" s="57">
        <v>80</v>
      </c>
      <c r="F114" s="58"/>
    </row>
    <row r="115" spans="3:6" ht="17" x14ac:dyDescent="0.2">
      <c r="C115" s="56">
        <v>45756</v>
      </c>
      <c r="D115" s="28" t="s">
        <v>536</v>
      </c>
      <c r="E115" s="57">
        <v>23</v>
      </c>
      <c r="F115" s="58" t="s">
        <v>485</v>
      </c>
    </row>
    <row r="116" spans="3:6" ht="17" x14ac:dyDescent="0.2">
      <c r="C116" s="56">
        <v>45757</v>
      </c>
      <c r="D116" s="28" t="s">
        <v>536</v>
      </c>
      <c r="E116" s="57">
        <v>24</v>
      </c>
      <c r="F116" s="58" t="s">
        <v>485</v>
      </c>
    </row>
    <row r="117" spans="3:6" ht="17" x14ac:dyDescent="0.2">
      <c r="C117" s="56">
        <v>45757</v>
      </c>
      <c r="D117" s="28" t="s">
        <v>566</v>
      </c>
      <c r="E117" s="57">
        <v>41.666666666666664</v>
      </c>
      <c r="F117" s="58"/>
    </row>
    <row r="118" spans="3:6" ht="17" x14ac:dyDescent="0.2">
      <c r="C118" s="56">
        <v>45758</v>
      </c>
      <c r="D118" s="28" t="s">
        <v>536</v>
      </c>
      <c r="E118" s="57">
        <v>22.666666666666668</v>
      </c>
      <c r="F118" s="58" t="s">
        <v>485</v>
      </c>
    </row>
    <row r="119" spans="3:6" ht="17" x14ac:dyDescent="0.2">
      <c r="C119" s="56">
        <v>45759</v>
      </c>
      <c r="D119" s="28" t="s">
        <v>567</v>
      </c>
      <c r="E119" s="57">
        <v>219</v>
      </c>
      <c r="F119" s="58"/>
    </row>
    <row r="120" spans="3:6" ht="17" x14ac:dyDescent="0.2">
      <c r="C120" s="56">
        <v>45759</v>
      </c>
      <c r="D120" s="28" t="s">
        <v>568</v>
      </c>
      <c r="E120" s="57">
        <v>180</v>
      </c>
      <c r="F120" s="58"/>
    </row>
    <row r="121" spans="3:6" ht="17" x14ac:dyDescent="0.2">
      <c r="C121" s="56">
        <v>45761</v>
      </c>
      <c r="D121" s="28" t="s">
        <v>536</v>
      </c>
      <c r="E121" s="57">
        <v>25</v>
      </c>
      <c r="F121" s="58" t="s">
        <v>485</v>
      </c>
    </row>
    <row r="122" spans="3:6" ht="17" x14ac:dyDescent="0.2">
      <c r="C122" s="56">
        <v>45762</v>
      </c>
      <c r="D122" s="28" t="s">
        <v>536</v>
      </c>
      <c r="E122" s="57">
        <v>22.666666666666668</v>
      </c>
      <c r="F122" s="58" t="s">
        <v>485</v>
      </c>
    </row>
    <row r="123" spans="3:6" ht="17" x14ac:dyDescent="0.2">
      <c r="C123" s="56">
        <v>45763</v>
      </c>
      <c r="D123" s="28" t="s">
        <v>536</v>
      </c>
      <c r="E123" s="57">
        <v>24</v>
      </c>
      <c r="F123" s="58" t="s">
        <v>485</v>
      </c>
    </row>
    <row r="124" spans="3:6" ht="17" x14ac:dyDescent="0.2">
      <c r="C124" s="56">
        <v>45764</v>
      </c>
      <c r="D124" s="28" t="s">
        <v>536</v>
      </c>
      <c r="E124" s="57">
        <v>26.666666666666668</v>
      </c>
      <c r="F124" s="58" t="s">
        <v>485</v>
      </c>
    </row>
    <row r="125" spans="3:6" ht="34" x14ac:dyDescent="0.2">
      <c r="C125" s="56">
        <v>45764</v>
      </c>
      <c r="D125" s="28" t="s">
        <v>570</v>
      </c>
      <c r="E125" s="57">
        <v>427</v>
      </c>
      <c r="F125" s="58"/>
    </row>
    <row r="126" spans="3:6" ht="17" x14ac:dyDescent="0.2">
      <c r="C126" s="56">
        <v>45765</v>
      </c>
      <c r="D126" s="28" t="s">
        <v>502</v>
      </c>
      <c r="E126" s="57">
        <v>2883.3333333333335</v>
      </c>
      <c r="F126" s="58"/>
    </row>
    <row r="127" spans="3:6" ht="17" x14ac:dyDescent="0.2">
      <c r="C127" s="56">
        <v>45765</v>
      </c>
      <c r="D127" s="28" t="s">
        <v>571</v>
      </c>
      <c r="E127" s="57">
        <v>82.5</v>
      </c>
      <c r="F127" s="58"/>
    </row>
    <row r="128" spans="3:6" ht="17" x14ac:dyDescent="0.2">
      <c r="C128" s="56">
        <v>45765</v>
      </c>
      <c r="D128" s="28" t="s">
        <v>572</v>
      </c>
      <c r="E128" s="57">
        <v>629.25</v>
      </c>
      <c r="F128" s="58"/>
    </row>
    <row r="129" spans="3:6" ht="17" x14ac:dyDescent="0.2">
      <c r="C129" s="56">
        <v>45766</v>
      </c>
      <c r="D129" s="28" t="s">
        <v>573</v>
      </c>
      <c r="E129" s="57">
        <v>324</v>
      </c>
      <c r="F129" s="58"/>
    </row>
    <row r="130" spans="3:6" ht="17" x14ac:dyDescent="0.2">
      <c r="C130" s="56">
        <v>45766</v>
      </c>
      <c r="D130" s="28" t="s">
        <v>574</v>
      </c>
      <c r="E130" s="57">
        <v>76</v>
      </c>
      <c r="F130" s="58"/>
    </row>
    <row r="131" spans="3:6" ht="17" x14ac:dyDescent="0.2">
      <c r="C131" s="56">
        <v>45769</v>
      </c>
      <c r="D131" s="28" t="s">
        <v>521</v>
      </c>
      <c r="E131" s="57">
        <v>157</v>
      </c>
      <c r="F131" s="58"/>
    </row>
    <row r="132" spans="3:6" ht="34" x14ac:dyDescent="0.2">
      <c r="C132" s="56">
        <v>45769</v>
      </c>
      <c r="D132" s="28" t="s">
        <v>577</v>
      </c>
      <c r="E132" s="57">
        <v>161</v>
      </c>
      <c r="F132" s="58"/>
    </row>
    <row r="133" spans="3:6" ht="17" x14ac:dyDescent="0.2">
      <c r="C133" s="56">
        <v>45770</v>
      </c>
      <c r="D133" s="28" t="s">
        <v>536</v>
      </c>
      <c r="E133" s="57">
        <v>27.666666666666668</v>
      </c>
      <c r="F133" s="58" t="s">
        <v>485</v>
      </c>
    </row>
    <row r="134" spans="3:6" ht="17" x14ac:dyDescent="0.2">
      <c r="C134" s="56">
        <v>45771</v>
      </c>
      <c r="D134" s="28" t="s">
        <v>578</v>
      </c>
      <c r="E134" s="57">
        <v>91</v>
      </c>
      <c r="F134" s="58"/>
    </row>
    <row r="135" spans="3:6" ht="17" x14ac:dyDescent="0.2">
      <c r="C135" s="56">
        <v>45771</v>
      </c>
      <c r="D135" s="28" t="s">
        <v>536</v>
      </c>
      <c r="E135" s="57">
        <v>25.666666666666668</v>
      </c>
      <c r="F135" s="58" t="s">
        <v>485</v>
      </c>
    </row>
    <row r="136" spans="3:6" ht="17" x14ac:dyDescent="0.2">
      <c r="C136" s="56">
        <v>45772</v>
      </c>
      <c r="D136" s="28" t="s">
        <v>536</v>
      </c>
      <c r="E136" s="57">
        <v>28.333333333333332</v>
      </c>
      <c r="F136" s="58" t="s">
        <v>485</v>
      </c>
    </row>
    <row r="137" spans="3:6" ht="17" x14ac:dyDescent="0.2">
      <c r="C137" s="56">
        <v>45773</v>
      </c>
      <c r="D137" s="28" t="s">
        <v>579</v>
      </c>
      <c r="E137" s="57">
        <v>165.33333333333334</v>
      </c>
      <c r="F137" s="58"/>
    </row>
    <row r="138" spans="3:6" ht="17" x14ac:dyDescent="0.2">
      <c r="C138" s="56">
        <v>45774</v>
      </c>
      <c r="D138" s="28" t="s">
        <v>581</v>
      </c>
      <c r="E138" s="57">
        <v>183.33333333333334</v>
      </c>
      <c r="F138" s="58"/>
    </row>
    <row r="139" spans="3:6" ht="17" x14ac:dyDescent="0.2">
      <c r="C139" s="56">
        <v>45774</v>
      </c>
      <c r="D139" s="28" t="s">
        <v>583</v>
      </c>
      <c r="E139" s="57">
        <v>148.66666666666666</v>
      </c>
      <c r="F139" s="58"/>
    </row>
    <row r="140" spans="3:6" ht="34" x14ac:dyDescent="0.2">
      <c r="C140" s="56">
        <v>45774</v>
      </c>
      <c r="D140" s="28" t="s">
        <v>584</v>
      </c>
      <c r="E140" s="57">
        <v>435.66666666666669</v>
      </c>
      <c r="F140" s="58"/>
    </row>
    <row r="141" spans="3:6" ht="17" x14ac:dyDescent="0.2">
      <c r="C141" s="56">
        <v>45775</v>
      </c>
      <c r="D141" s="28" t="s">
        <v>536</v>
      </c>
      <c r="E141" s="57">
        <v>25</v>
      </c>
      <c r="F141" s="58" t="s">
        <v>485</v>
      </c>
    </row>
    <row r="142" spans="3:6" ht="17" x14ac:dyDescent="0.2">
      <c r="C142" s="56">
        <v>45776</v>
      </c>
      <c r="D142" s="28" t="s">
        <v>536</v>
      </c>
      <c r="E142" s="57">
        <v>23.666666666666668</v>
      </c>
      <c r="F142" s="58" t="s">
        <v>485</v>
      </c>
    </row>
    <row r="143" spans="3:6" ht="17" x14ac:dyDescent="0.2">
      <c r="C143" s="56">
        <v>45777</v>
      </c>
      <c r="D143" s="28" t="s">
        <v>555</v>
      </c>
      <c r="E143" s="57">
        <v>444.33333333333331</v>
      </c>
      <c r="F143" s="58"/>
    </row>
    <row r="144" spans="3:6" ht="17" x14ac:dyDescent="0.2">
      <c r="C144" s="56">
        <v>45777</v>
      </c>
      <c r="D144" s="28" t="s">
        <v>536</v>
      </c>
      <c r="E144" s="57">
        <v>27</v>
      </c>
      <c r="F144" s="58" t="s">
        <v>485</v>
      </c>
    </row>
    <row r="145" spans="3:6" ht="17" x14ac:dyDescent="0.2">
      <c r="C145" s="56">
        <v>45777</v>
      </c>
      <c r="D145" s="28" t="s">
        <v>499</v>
      </c>
      <c r="E145" s="57">
        <v>103.66666666666667</v>
      </c>
      <c r="F145" s="58"/>
    </row>
    <row r="146" spans="3:6" ht="17" x14ac:dyDescent="0.2">
      <c r="C146" s="56">
        <v>45779</v>
      </c>
      <c r="D146" s="28" t="s">
        <v>536</v>
      </c>
      <c r="E146" s="57">
        <v>23.333333333333332</v>
      </c>
      <c r="F146" s="58" t="s">
        <v>485</v>
      </c>
    </row>
    <row r="147" spans="3:6" ht="17" x14ac:dyDescent="0.2">
      <c r="C147" s="56">
        <v>45780</v>
      </c>
      <c r="D147" s="28" t="s">
        <v>591</v>
      </c>
      <c r="E147" s="57">
        <v>164</v>
      </c>
      <c r="F147" s="58"/>
    </row>
    <row r="148" spans="3:6" ht="17" x14ac:dyDescent="0.2">
      <c r="C148" s="56">
        <v>45780</v>
      </c>
      <c r="D148" s="28" t="s">
        <v>593</v>
      </c>
      <c r="E148" s="57">
        <v>156.33333333333334</v>
      </c>
      <c r="F148" s="58"/>
    </row>
    <row r="149" spans="3:6" ht="17" x14ac:dyDescent="0.2">
      <c r="C149" s="56">
        <v>45780</v>
      </c>
      <c r="D149" s="28" t="s">
        <v>476</v>
      </c>
      <c r="E149" s="57">
        <v>121</v>
      </c>
      <c r="F149" s="58"/>
    </row>
    <row r="150" spans="3:6" ht="17" x14ac:dyDescent="0.2">
      <c r="C150" s="56">
        <v>45781</v>
      </c>
      <c r="D150" s="28" t="s">
        <v>595</v>
      </c>
      <c r="E150" s="57">
        <v>65</v>
      </c>
      <c r="F150" s="58"/>
    </row>
    <row r="151" spans="3:6" ht="17" x14ac:dyDescent="0.2">
      <c r="C151" s="56">
        <v>45782</v>
      </c>
      <c r="D151" s="28" t="s">
        <v>536</v>
      </c>
      <c r="E151" s="57">
        <v>28.333333333333332</v>
      </c>
      <c r="F151" s="58" t="s">
        <v>485</v>
      </c>
    </row>
    <row r="152" spans="3:6" ht="17" x14ac:dyDescent="0.2">
      <c r="C152" s="56">
        <v>45783</v>
      </c>
      <c r="D152" s="28" t="s">
        <v>536</v>
      </c>
      <c r="E152" s="57">
        <v>28.666666666666668</v>
      </c>
      <c r="F152" s="58" t="s">
        <v>485</v>
      </c>
    </row>
    <row r="153" spans="3:6" x14ac:dyDescent="0.2">
      <c r="C153" s="56">
        <v>45784</v>
      </c>
      <c r="D153" s="60" t="s">
        <v>596</v>
      </c>
      <c r="E153" s="57">
        <v>27.666666666666668</v>
      </c>
      <c r="F153" s="58" t="s">
        <v>485</v>
      </c>
    </row>
    <row r="154" spans="3:6" ht="34" x14ac:dyDescent="0.2">
      <c r="C154" s="56">
        <v>45785</v>
      </c>
      <c r="D154" s="28" t="s">
        <v>597</v>
      </c>
      <c r="E154" s="57">
        <v>152.33333333333334</v>
      </c>
      <c r="F154" s="58"/>
    </row>
    <row r="155" spans="3:6" x14ac:dyDescent="0.2">
      <c r="C155" s="56">
        <v>45786</v>
      </c>
      <c r="D155" s="60" t="s">
        <v>596</v>
      </c>
      <c r="E155" s="57">
        <v>26</v>
      </c>
      <c r="F155" s="58" t="s">
        <v>485</v>
      </c>
    </row>
    <row r="156" spans="3:6" ht="17" x14ac:dyDescent="0.2">
      <c r="C156" s="56">
        <v>45787</v>
      </c>
      <c r="D156" s="28" t="s">
        <v>588</v>
      </c>
      <c r="E156" s="57">
        <v>266.33333333333331</v>
      </c>
      <c r="F156" s="58"/>
    </row>
    <row r="157" spans="3:6" x14ac:dyDescent="0.2">
      <c r="C157" s="56">
        <v>45789</v>
      </c>
      <c r="D157" s="60" t="s">
        <v>596</v>
      </c>
      <c r="E157" s="57">
        <v>26</v>
      </c>
      <c r="F157" s="58" t="s">
        <v>485</v>
      </c>
    </row>
    <row r="158" spans="3:6" ht="17" x14ac:dyDescent="0.2">
      <c r="C158" s="56">
        <v>45794</v>
      </c>
      <c r="D158" s="28" t="s">
        <v>598</v>
      </c>
      <c r="E158" s="57">
        <v>105</v>
      </c>
      <c r="F158" s="58"/>
    </row>
    <row r="159" spans="3:6" ht="17" x14ac:dyDescent="0.2">
      <c r="C159" s="56">
        <v>45795</v>
      </c>
      <c r="D159" s="28" t="s">
        <v>502</v>
      </c>
      <c r="E159" s="57">
        <v>2763.3333333333335</v>
      </c>
      <c r="F159" s="58"/>
    </row>
    <row r="160" spans="3:6" x14ac:dyDescent="0.2">
      <c r="C160" s="56">
        <v>45796</v>
      </c>
      <c r="D160" s="60" t="s">
        <v>596</v>
      </c>
      <c r="E160" s="57">
        <v>25</v>
      </c>
      <c r="F160" s="58" t="s">
        <v>485</v>
      </c>
    </row>
    <row r="161" spans="3:6" x14ac:dyDescent="0.2">
      <c r="C161" s="56">
        <v>45797</v>
      </c>
      <c r="D161" s="60" t="s">
        <v>596</v>
      </c>
      <c r="E161" s="57">
        <v>28</v>
      </c>
      <c r="F161" s="58" t="s">
        <v>485</v>
      </c>
    </row>
    <row r="162" spans="3:6" x14ac:dyDescent="0.2">
      <c r="C162" s="56">
        <v>45798</v>
      </c>
      <c r="D162" s="60" t="s">
        <v>596</v>
      </c>
      <c r="E162" s="57">
        <v>25.666666666666668</v>
      </c>
      <c r="F162" s="58" t="s">
        <v>485</v>
      </c>
    </row>
    <row r="163" spans="3:6" ht="17" x14ac:dyDescent="0.2">
      <c r="C163" s="56">
        <v>45802</v>
      </c>
      <c r="D163" s="28" t="s">
        <v>502</v>
      </c>
      <c r="E163" s="57">
        <v>4560</v>
      </c>
      <c r="F163" s="58"/>
    </row>
    <row r="164" spans="3:6" ht="17" x14ac:dyDescent="0.2">
      <c r="C164" s="56">
        <v>45803</v>
      </c>
      <c r="D164" s="28" t="s">
        <v>603</v>
      </c>
      <c r="E164" s="57">
        <v>524</v>
      </c>
      <c r="F164" s="58"/>
    </row>
    <row r="165" spans="3:6" ht="17" x14ac:dyDescent="0.2">
      <c r="C165" s="56">
        <v>45806</v>
      </c>
      <c r="D165" s="28" t="s">
        <v>602</v>
      </c>
      <c r="E165" s="57">
        <v>393.33333333333331</v>
      </c>
      <c r="F165" s="58"/>
    </row>
    <row r="166" spans="3:6" x14ac:dyDescent="0.2">
      <c r="C166" s="56">
        <v>45810</v>
      </c>
      <c r="D166" s="60" t="s">
        <v>596</v>
      </c>
      <c r="E166" s="57">
        <v>32</v>
      </c>
      <c r="F166" s="58" t="s">
        <v>485</v>
      </c>
    </row>
    <row r="167" spans="3:6" ht="34" x14ac:dyDescent="0.2">
      <c r="C167" s="56">
        <v>45811</v>
      </c>
      <c r="D167" s="28" t="s">
        <v>604</v>
      </c>
      <c r="E167" s="57">
        <v>219</v>
      </c>
      <c r="F167" s="58"/>
    </row>
    <row r="168" spans="3:6" x14ac:dyDescent="0.2">
      <c r="C168" s="56">
        <v>45813</v>
      </c>
      <c r="D168" s="60" t="s">
        <v>596</v>
      </c>
      <c r="E168" s="57">
        <v>27</v>
      </c>
      <c r="F168" s="58" t="s">
        <v>485</v>
      </c>
    </row>
    <row r="169" spans="3:6" ht="17" x14ac:dyDescent="0.2">
      <c r="C169" s="56">
        <v>45833</v>
      </c>
      <c r="D169" s="28" t="s">
        <v>502</v>
      </c>
      <c r="E169" s="57">
        <v>2763.3333333333335</v>
      </c>
      <c r="F169" s="58"/>
    </row>
    <row r="170" spans="3:6" x14ac:dyDescent="0.2">
      <c r="C170" s="56">
        <v>45814</v>
      </c>
      <c r="D170" s="60" t="s">
        <v>596</v>
      </c>
      <c r="E170" s="57">
        <v>30.333333333333332</v>
      </c>
      <c r="F170" s="58" t="s">
        <v>485</v>
      </c>
    </row>
    <row r="171" spans="3:6" ht="34" x14ac:dyDescent="0.2">
      <c r="C171" s="56">
        <v>45816</v>
      </c>
      <c r="D171" s="28" t="s">
        <v>609</v>
      </c>
      <c r="E171" s="57">
        <v>208</v>
      </c>
      <c r="F171" s="58"/>
    </row>
    <row r="172" spans="3:6" x14ac:dyDescent="0.2">
      <c r="C172" s="56">
        <v>45817</v>
      </c>
      <c r="D172" s="60" t="s">
        <v>596</v>
      </c>
      <c r="E172" s="57">
        <v>21.333333333333332</v>
      </c>
      <c r="F172" s="58" t="s">
        <v>485</v>
      </c>
    </row>
    <row r="173" spans="3:6" ht="17" x14ac:dyDescent="0.2">
      <c r="C173" s="56">
        <v>45818</v>
      </c>
      <c r="D173" s="28" t="s">
        <v>610</v>
      </c>
      <c r="E173" s="57">
        <v>73.333333333333329</v>
      </c>
      <c r="F173" s="58"/>
    </row>
    <row r="174" spans="3:6" ht="17" x14ac:dyDescent="0.2">
      <c r="C174" s="56">
        <v>45819</v>
      </c>
      <c r="D174" s="28" t="s">
        <v>499</v>
      </c>
      <c r="E174" s="57">
        <v>107</v>
      </c>
      <c r="F174" s="58"/>
    </row>
    <row r="175" spans="3:6" x14ac:dyDescent="0.2">
      <c r="C175" s="56">
        <v>45820</v>
      </c>
      <c r="D175" s="60" t="s">
        <v>596</v>
      </c>
      <c r="E175" s="57">
        <v>21</v>
      </c>
      <c r="F175" s="58" t="s">
        <v>485</v>
      </c>
    </row>
    <row r="176" spans="3:6" x14ac:dyDescent="0.2">
      <c r="C176" s="56">
        <v>45821</v>
      </c>
      <c r="D176" s="60" t="s">
        <v>596</v>
      </c>
      <c r="E176" s="57">
        <v>20.333333333333332</v>
      </c>
      <c r="F176" s="58" t="s">
        <v>485</v>
      </c>
    </row>
    <row r="177" spans="3:6" x14ac:dyDescent="0.2">
      <c r="C177" s="56">
        <v>45825</v>
      </c>
      <c r="D177" s="60" t="s">
        <v>596</v>
      </c>
      <c r="E177" s="57">
        <v>20.666666666666668</v>
      </c>
      <c r="F177" s="58" t="s">
        <v>485</v>
      </c>
    </row>
    <row r="178" spans="3:6" ht="17" x14ac:dyDescent="0.2">
      <c r="C178" s="56">
        <v>45826</v>
      </c>
      <c r="D178" s="28" t="s">
        <v>613</v>
      </c>
      <c r="E178" s="57">
        <v>207.33333333333334</v>
      </c>
      <c r="F178" s="58"/>
    </row>
    <row r="179" spans="3:6" ht="34" x14ac:dyDescent="0.2">
      <c r="C179" s="56">
        <v>45826</v>
      </c>
      <c r="D179" s="28" t="s">
        <v>614</v>
      </c>
      <c r="E179" s="57">
        <v>325.33333333333331</v>
      </c>
      <c r="F179" s="58"/>
    </row>
    <row r="180" spans="3:6" ht="17" x14ac:dyDescent="0.2">
      <c r="C180" s="56">
        <v>45827</v>
      </c>
      <c r="D180" s="28" t="s">
        <v>499</v>
      </c>
      <c r="E180" s="57">
        <v>162.66666666666666</v>
      </c>
      <c r="F180" s="58"/>
    </row>
    <row r="181" spans="3:6" ht="17" x14ac:dyDescent="0.2">
      <c r="C181" s="56">
        <v>45829</v>
      </c>
      <c r="D181" s="28" t="s">
        <v>615</v>
      </c>
      <c r="E181" s="57">
        <v>42.5</v>
      </c>
      <c r="F181" s="58"/>
    </row>
    <row r="182" spans="3:6" ht="17" x14ac:dyDescent="0.2">
      <c r="C182" s="56">
        <v>45829</v>
      </c>
      <c r="D182" s="28" t="s">
        <v>617</v>
      </c>
      <c r="E182" s="57">
        <v>77.75</v>
      </c>
      <c r="F182" s="58"/>
    </row>
    <row r="183" spans="3:6" x14ac:dyDescent="0.2">
      <c r="C183" s="56">
        <v>45831</v>
      </c>
      <c r="D183" s="60" t="s">
        <v>596</v>
      </c>
      <c r="E183" s="57">
        <v>25</v>
      </c>
      <c r="F183" s="58" t="s">
        <v>485</v>
      </c>
    </row>
    <row r="184" spans="3:6" x14ac:dyDescent="0.2">
      <c r="C184" s="56">
        <v>45835</v>
      </c>
      <c r="D184" s="60" t="s">
        <v>596</v>
      </c>
      <c r="E184" s="57">
        <v>21</v>
      </c>
      <c r="F184" s="58" t="s">
        <v>485</v>
      </c>
    </row>
    <row r="185" spans="3:6" ht="17" x14ac:dyDescent="0.2">
      <c r="C185" s="56">
        <v>45835</v>
      </c>
      <c r="D185" s="28" t="s">
        <v>621</v>
      </c>
      <c r="E185" s="57">
        <v>80</v>
      </c>
      <c r="F185" s="58"/>
    </row>
    <row r="186" spans="3:6" ht="17" x14ac:dyDescent="0.2">
      <c r="C186" s="56">
        <v>45836</v>
      </c>
      <c r="D186" s="28" t="s">
        <v>622</v>
      </c>
      <c r="E186" s="57">
        <v>1920.3333333333333</v>
      </c>
      <c r="F186" s="58"/>
    </row>
    <row r="187" spans="3:6" ht="17" x14ac:dyDescent="0.2">
      <c r="C187" s="56">
        <v>45836</v>
      </c>
      <c r="D187" s="28" t="s">
        <v>623</v>
      </c>
      <c r="E187" s="57">
        <v>288</v>
      </c>
      <c r="F187" s="58"/>
    </row>
    <row r="188" spans="3:6" ht="34" x14ac:dyDescent="0.2">
      <c r="C188" s="56">
        <v>45837</v>
      </c>
      <c r="D188" s="28" t="s">
        <v>624</v>
      </c>
      <c r="E188" s="57">
        <v>708.66666666666663</v>
      </c>
      <c r="F188" s="58"/>
    </row>
    <row r="189" spans="3:6" ht="17" x14ac:dyDescent="0.2">
      <c r="C189" s="56">
        <v>45838</v>
      </c>
      <c r="D189" s="28" t="s">
        <v>653</v>
      </c>
      <c r="E189" s="57">
        <v>238.33333333333334</v>
      </c>
      <c r="F189" s="58"/>
    </row>
    <row r="190" spans="3:6" ht="17" x14ac:dyDescent="0.2">
      <c r="C190" s="56">
        <v>45838</v>
      </c>
      <c r="D190" s="28" t="s">
        <v>499</v>
      </c>
      <c r="E190" s="57">
        <v>60.666666666666664</v>
      </c>
      <c r="F190" s="58"/>
    </row>
    <row r="191" spans="3:6" ht="17" x14ac:dyDescent="0.2">
      <c r="C191" s="56">
        <v>45839</v>
      </c>
      <c r="D191" s="28" t="s">
        <v>642</v>
      </c>
      <c r="E191" s="57">
        <v>222.66666666666666</v>
      </c>
      <c r="F191" s="58"/>
    </row>
    <row r="192" spans="3:6" ht="17" x14ac:dyDescent="0.2">
      <c r="C192" s="56">
        <v>45840</v>
      </c>
      <c r="D192" s="28" t="s">
        <v>499</v>
      </c>
      <c r="E192" s="57">
        <v>60.666666666666664</v>
      </c>
      <c r="F192" s="58"/>
    </row>
    <row r="193" spans="3:6" ht="17" x14ac:dyDescent="0.2">
      <c r="C193" s="56">
        <v>45840</v>
      </c>
      <c r="D193" s="28" t="s">
        <v>627</v>
      </c>
      <c r="E193" s="61">
        <v>179.66666666666666</v>
      </c>
      <c r="F193" s="62"/>
    </row>
    <row r="194" spans="3:6" ht="17" x14ac:dyDescent="0.2">
      <c r="C194" s="56">
        <v>45841</v>
      </c>
      <c r="D194" s="28" t="s">
        <v>499</v>
      </c>
      <c r="E194" s="57">
        <v>60.666666666666664</v>
      </c>
      <c r="F194" s="58"/>
    </row>
    <row r="195" spans="3:6" ht="34" x14ac:dyDescent="0.2">
      <c r="C195" s="56">
        <v>45841</v>
      </c>
      <c r="D195" s="28" t="s">
        <v>629</v>
      </c>
      <c r="E195" s="61">
        <v>463</v>
      </c>
      <c r="F195" s="62"/>
    </row>
    <row r="196" spans="3:6" ht="17" x14ac:dyDescent="0.2">
      <c r="C196" s="56">
        <v>45841</v>
      </c>
      <c r="D196" s="28" t="s">
        <v>644</v>
      </c>
      <c r="E196" s="57">
        <v>70</v>
      </c>
      <c r="F196" s="58"/>
    </row>
    <row r="197" spans="3:6" ht="17" x14ac:dyDescent="0.2">
      <c r="C197" s="56">
        <v>45841</v>
      </c>
      <c r="D197" s="28" t="s">
        <v>645</v>
      </c>
      <c r="E197" s="57">
        <v>53</v>
      </c>
      <c r="F197" s="58"/>
    </row>
    <row r="198" spans="3:6" ht="17" x14ac:dyDescent="0.2">
      <c r="C198" s="56">
        <v>45843</v>
      </c>
      <c r="D198" s="28" t="s">
        <v>626</v>
      </c>
      <c r="E198" s="57">
        <v>108.33333333333333</v>
      </c>
      <c r="F198" s="58"/>
    </row>
    <row r="199" spans="3:6" ht="17" x14ac:dyDescent="0.2">
      <c r="C199" s="56">
        <v>45844</v>
      </c>
      <c r="D199" s="28" t="s">
        <v>630</v>
      </c>
      <c r="E199" s="61">
        <v>402.33333333333331</v>
      </c>
      <c r="F199" s="62"/>
    </row>
    <row r="200" spans="3:6" ht="17" x14ac:dyDescent="0.2">
      <c r="C200" s="56">
        <v>45844</v>
      </c>
      <c r="D200" s="28" t="s">
        <v>646</v>
      </c>
      <c r="E200" s="57">
        <v>49</v>
      </c>
      <c r="F200" s="58"/>
    </row>
    <row r="201" spans="3:6" ht="17" x14ac:dyDescent="0.2">
      <c r="C201" s="56">
        <v>45845</v>
      </c>
      <c r="D201" s="28" t="s">
        <v>648</v>
      </c>
      <c r="E201" s="57">
        <v>70</v>
      </c>
      <c r="F201" s="58"/>
    </row>
    <row r="202" spans="3:6" ht="35" x14ac:dyDescent="0.2">
      <c r="C202" s="56">
        <v>45850</v>
      </c>
      <c r="D202" s="28" t="s">
        <v>647</v>
      </c>
      <c r="E202" s="61">
        <v>320</v>
      </c>
      <c r="F202" s="62"/>
    </row>
    <row r="203" spans="3:6" ht="17" x14ac:dyDescent="0.2">
      <c r="C203" s="56">
        <v>45851</v>
      </c>
      <c r="D203" s="28" t="s">
        <v>641</v>
      </c>
      <c r="E203" s="57">
        <v>124</v>
      </c>
      <c r="F203" s="58"/>
    </row>
    <row r="204" spans="3:6" ht="17" x14ac:dyDescent="0.2">
      <c r="C204" s="56">
        <v>45860</v>
      </c>
      <c r="D204" s="28" t="s">
        <v>631</v>
      </c>
      <c r="E204" s="61">
        <v>3733.3333333333335</v>
      </c>
      <c r="F204" s="62"/>
    </row>
    <row r="205" spans="3:6" ht="17" x14ac:dyDescent="0.2">
      <c r="C205" s="56">
        <v>45860</v>
      </c>
      <c r="D205" s="28" t="s">
        <v>632</v>
      </c>
      <c r="E205" s="61">
        <v>173.33333333333334</v>
      </c>
      <c r="F205" s="62"/>
    </row>
    <row r="206" spans="3:6" ht="17" x14ac:dyDescent="0.2">
      <c r="C206" s="56">
        <v>45862</v>
      </c>
      <c r="D206" s="28" t="s">
        <v>499</v>
      </c>
      <c r="E206" s="57">
        <v>73.333333333333329</v>
      </c>
      <c r="F206" s="58"/>
    </row>
    <row r="207" spans="3:6" ht="17" x14ac:dyDescent="0.2">
      <c r="C207" s="56">
        <v>45862</v>
      </c>
      <c r="D207" s="28" t="s">
        <v>633</v>
      </c>
      <c r="E207" s="61">
        <v>256.66666666666669</v>
      </c>
      <c r="F207" s="62"/>
    </row>
    <row r="208" spans="3:6" ht="17" x14ac:dyDescent="0.2">
      <c r="C208" s="56">
        <v>45862</v>
      </c>
      <c r="D208" s="28" t="s">
        <v>638</v>
      </c>
      <c r="E208" s="61">
        <v>70</v>
      </c>
      <c r="F208" s="62"/>
    </row>
    <row r="209" spans="3:6" ht="17" x14ac:dyDescent="0.2">
      <c r="C209" s="56">
        <v>45865</v>
      </c>
      <c r="D209" s="28" t="s">
        <v>634</v>
      </c>
      <c r="E209" s="61">
        <v>36.333333333333336</v>
      </c>
      <c r="F209" s="62"/>
    </row>
    <row r="210" spans="3:6" ht="17" x14ac:dyDescent="0.2">
      <c r="C210" s="56">
        <v>45869</v>
      </c>
      <c r="D210" s="28" t="s">
        <v>635</v>
      </c>
      <c r="E210" s="61">
        <v>163.33333333333334</v>
      </c>
      <c r="F210" s="62"/>
    </row>
    <row r="211" spans="3:6" ht="17" x14ac:dyDescent="0.2">
      <c r="C211" s="56">
        <v>45871</v>
      </c>
      <c r="D211" s="28" t="s">
        <v>636</v>
      </c>
      <c r="E211" s="61">
        <v>393.33333333333331</v>
      </c>
      <c r="F211" s="62"/>
    </row>
    <row r="212" spans="3:6" ht="17" x14ac:dyDescent="0.2">
      <c r="C212" s="56">
        <v>45875</v>
      </c>
      <c r="D212" s="28" t="s">
        <v>637</v>
      </c>
      <c r="E212" s="61">
        <v>60.333333333333336</v>
      </c>
      <c r="F212" s="62"/>
    </row>
    <row r="213" spans="3:6" ht="17" x14ac:dyDescent="0.2">
      <c r="C213" s="56">
        <v>45875</v>
      </c>
      <c r="D213" s="28" t="s">
        <v>640</v>
      </c>
      <c r="E213" s="57">
        <v>68.666666666666671</v>
      </c>
      <c r="F213" s="58"/>
    </row>
    <row r="214" spans="3:6" ht="17" x14ac:dyDescent="0.2">
      <c r="C214" s="56">
        <v>45876</v>
      </c>
      <c r="D214" s="28" t="s">
        <v>643</v>
      </c>
      <c r="E214" s="57">
        <v>170.44444444444446</v>
      </c>
      <c r="F214" s="58"/>
    </row>
    <row r="215" spans="3:6" ht="17" x14ac:dyDescent="0.2">
      <c r="C215" s="56">
        <v>45874</v>
      </c>
      <c r="D215" s="28" t="s">
        <v>651</v>
      </c>
      <c r="E215" s="57">
        <v>-1018.17</v>
      </c>
      <c r="F215" s="58"/>
    </row>
    <row r="216" spans="3:6" x14ac:dyDescent="0.2">
      <c r="C216" s="56"/>
      <c r="D216" s="28"/>
      <c r="E216" s="57"/>
    </row>
    <row r="217" spans="3:6" x14ac:dyDescent="0.2">
      <c r="C217" s="56"/>
      <c r="D217" s="60"/>
      <c r="E217" s="57"/>
    </row>
    <row r="218" spans="3:6" x14ac:dyDescent="0.2">
      <c r="C218" s="56"/>
      <c r="D218" s="28"/>
      <c r="E218" s="57"/>
    </row>
    <row r="219" spans="3:6" x14ac:dyDescent="0.2">
      <c r="C219" s="56"/>
      <c r="D219" s="28"/>
      <c r="E219" s="57"/>
    </row>
    <row r="220" spans="3:6" x14ac:dyDescent="0.2">
      <c r="C220" s="56"/>
      <c r="D220" s="28"/>
      <c r="E220" s="57"/>
    </row>
    <row r="221" spans="3:6" x14ac:dyDescent="0.2">
      <c r="C221" s="56"/>
      <c r="D221" s="60"/>
      <c r="E221" s="57"/>
    </row>
    <row r="222" spans="3:6" x14ac:dyDescent="0.2">
      <c r="C222" s="56"/>
      <c r="D222" s="28"/>
      <c r="E222" s="57"/>
    </row>
    <row r="223" spans="3:6" x14ac:dyDescent="0.2">
      <c r="C223" s="56"/>
      <c r="D223" s="60"/>
      <c r="E223" s="57"/>
    </row>
    <row r="224" spans="3:6" x14ac:dyDescent="0.2">
      <c r="C224" s="56"/>
      <c r="D224" s="60"/>
      <c r="E224" s="57"/>
    </row>
    <row r="225" spans="3:5" x14ac:dyDescent="0.2">
      <c r="C225" s="56"/>
      <c r="D225" s="28"/>
      <c r="E225" s="57"/>
    </row>
    <row r="226" spans="3:5" x14ac:dyDescent="0.2">
      <c r="C226" s="56"/>
      <c r="D226" s="28"/>
      <c r="E226" s="57"/>
    </row>
    <row r="227" spans="3:5" x14ac:dyDescent="0.2">
      <c r="C227" s="56"/>
      <c r="D227" s="28"/>
      <c r="E227" s="57"/>
    </row>
    <row r="228" spans="3:5" x14ac:dyDescent="0.2">
      <c r="C228" s="56"/>
      <c r="D228" s="28"/>
      <c r="E228" s="57"/>
    </row>
    <row r="229" spans="3:5" x14ac:dyDescent="0.2">
      <c r="C229" s="56"/>
      <c r="D229" s="28"/>
      <c r="E229" s="57"/>
    </row>
    <row r="230" spans="3:5" x14ac:dyDescent="0.2">
      <c r="C230" s="56"/>
      <c r="D230" s="28"/>
      <c r="E230" s="57"/>
    </row>
    <row r="231" spans="3:5" x14ac:dyDescent="0.2">
      <c r="C231" s="56"/>
      <c r="D231" s="28"/>
      <c r="E231" s="57"/>
    </row>
    <row r="232" spans="3:5" x14ac:dyDescent="0.2">
      <c r="C232" s="56"/>
      <c r="D232" s="60"/>
      <c r="E232" s="57"/>
    </row>
    <row r="233" spans="3:5" x14ac:dyDescent="0.2">
      <c r="C233" s="56"/>
      <c r="D233" s="28"/>
      <c r="E233" s="57"/>
    </row>
    <row r="234" spans="3:5" x14ac:dyDescent="0.2">
      <c r="C234" s="56"/>
      <c r="D234" s="28"/>
      <c r="E234" s="57"/>
    </row>
    <row r="235" spans="3:5" x14ac:dyDescent="0.2">
      <c r="C235" s="56"/>
      <c r="D235" s="60"/>
      <c r="E235" s="57"/>
    </row>
    <row r="236" spans="3:5" x14ac:dyDescent="0.2">
      <c r="C236" s="56"/>
      <c r="D236" s="28"/>
      <c r="E236" s="57"/>
    </row>
    <row r="237" spans="3:5" x14ac:dyDescent="0.2">
      <c r="C237" s="56"/>
      <c r="D237" s="28"/>
      <c r="E237" s="57"/>
    </row>
    <row r="238" spans="3:5" x14ac:dyDescent="0.2">
      <c r="C238" s="56"/>
      <c r="D238" s="28"/>
      <c r="E238" s="57"/>
    </row>
    <row r="239" spans="3:5" x14ac:dyDescent="0.2">
      <c r="C239" s="56"/>
      <c r="D239" s="28"/>
      <c r="E239" s="57"/>
    </row>
    <row r="240" spans="3:5" x14ac:dyDescent="0.2">
      <c r="C240" s="56"/>
      <c r="D240" s="28"/>
      <c r="E240" s="57"/>
    </row>
    <row r="241" spans="3:5" x14ac:dyDescent="0.2">
      <c r="C241" s="56"/>
      <c r="D241" s="28"/>
      <c r="E241" s="57"/>
    </row>
    <row r="242" spans="3:5" x14ac:dyDescent="0.2">
      <c r="C242" s="56"/>
      <c r="D242" s="28"/>
      <c r="E242" s="57"/>
    </row>
    <row r="243" spans="3:5" x14ac:dyDescent="0.2">
      <c r="C243" s="56"/>
      <c r="D243" s="28"/>
      <c r="E243" s="57"/>
    </row>
    <row r="244" spans="3:5" x14ac:dyDescent="0.2">
      <c r="C244" s="56"/>
      <c r="D244" s="28"/>
      <c r="E244" s="61"/>
    </row>
    <row r="245" spans="3:5" x14ac:dyDescent="0.2">
      <c r="C245" s="56"/>
      <c r="D245" s="28"/>
      <c r="E245" s="57"/>
    </row>
    <row r="246" spans="3:5" x14ac:dyDescent="0.2">
      <c r="C246" s="56"/>
      <c r="D246" s="28"/>
      <c r="E246" s="61"/>
    </row>
    <row r="247" spans="3:5" x14ac:dyDescent="0.2">
      <c r="C247" s="56"/>
      <c r="D247" s="28"/>
      <c r="E247" s="57"/>
    </row>
    <row r="248" spans="3:5" x14ac:dyDescent="0.2">
      <c r="C248" s="56"/>
      <c r="D248" s="28"/>
      <c r="E248" s="57"/>
    </row>
    <row r="249" spans="3:5" x14ac:dyDescent="0.2">
      <c r="C249" s="56"/>
      <c r="D249" s="28"/>
      <c r="E249" s="57"/>
    </row>
    <row r="250" spans="3:5" x14ac:dyDescent="0.2">
      <c r="C250" s="56"/>
      <c r="D250" s="28"/>
      <c r="E250" s="61"/>
    </row>
    <row r="251" spans="3:5" x14ac:dyDescent="0.2">
      <c r="C251" s="56"/>
      <c r="D251" s="28"/>
      <c r="E251" s="57"/>
    </row>
    <row r="252" spans="3:5" x14ac:dyDescent="0.2">
      <c r="C252" s="56"/>
      <c r="D252" s="28"/>
      <c r="E252" s="57"/>
    </row>
    <row r="253" spans="3:5" x14ac:dyDescent="0.2">
      <c r="C253" s="56"/>
      <c r="D253" s="28"/>
      <c r="E253" s="57"/>
    </row>
    <row r="254" spans="3:5" x14ac:dyDescent="0.2">
      <c r="C254" s="56"/>
      <c r="D254" s="28"/>
      <c r="E254" s="61"/>
    </row>
    <row r="255" spans="3:5" x14ac:dyDescent="0.2">
      <c r="C255" s="56"/>
      <c r="D255" s="28"/>
      <c r="E255" s="57"/>
    </row>
    <row r="256" spans="3:5" x14ac:dyDescent="0.2">
      <c r="C256" s="56"/>
      <c r="D256" s="28"/>
      <c r="E256" s="61"/>
    </row>
    <row r="257" spans="3:5" x14ac:dyDescent="0.2">
      <c r="C257" s="56"/>
      <c r="D257" s="28"/>
      <c r="E257" s="61"/>
    </row>
    <row r="258" spans="3:5" x14ac:dyDescent="0.2">
      <c r="C258" s="56"/>
      <c r="D258" s="28"/>
      <c r="E258" s="61"/>
    </row>
    <row r="259" spans="3:5" x14ac:dyDescent="0.2">
      <c r="C259" s="56"/>
      <c r="D259" s="28"/>
      <c r="E259" s="57"/>
    </row>
    <row r="260" spans="3:5" x14ac:dyDescent="0.2">
      <c r="C260" s="56"/>
      <c r="D260" s="28"/>
      <c r="E260" s="61"/>
    </row>
    <row r="261" spans="3:5" x14ac:dyDescent="0.2">
      <c r="C261" s="56"/>
      <c r="D261" s="28"/>
      <c r="E261" s="61"/>
    </row>
    <row r="262" spans="3:5" x14ac:dyDescent="0.2">
      <c r="C262" s="56"/>
      <c r="D262" s="28"/>
      <c r="E262" s="61"/>
    </row>
    <row r="263" spans="3:5" x14ac:dyDescent="0.2">
      <c r="C263" s="56"/>
      <c r="D263" s="28"/>
      <c r="E263" s="61"/>
    </row>
    <row r="264" spans="3:5" x14ac:dyDescent="0.2">
      <c r="C264" s="56"/>
      <c r="D264" s="28"/>
      <c r="E264" s="61"/>
    </row>
    <row r="265" spans="3:5" x14ac:dyDescent="0.2">
      <c r="C265" s="56"/>
      <c r="D265" s="28"/>
      <c r="E265" s="61"/>
    </row>
    <row r="266" spans="3:5" x14ac:dyDescent="0.2">
      <c r="C266" s="56"/>
      <c r="D266" s="28"/>
      <c r="E266" s="57"/>
    </row>
    <row r="267" spans="3:5" x14ac:dyDescent="0.2">
      <c r="C267" s="56"/>
      <c r="D267" s="28"/>
      <c r="E267" s="57"/>
    </row>
    <row r="268" spans="3:5" x14ac:dyDescent="0.2">
      <c r="C268" s="56"/>
      <c r="D268" s="28"/>
      <c r="E268" s="5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862AB-E999-D346-BECF-8CC8CD977D5E}">
  <dimension ref="C1:F268"/>
  <sheetViews>
    <sheetView showGridLines="0" topLeftCell="A8" zoomScale="125" workbookViewId="0">
      <selection activeCell="E27" sqref="E27"/>
    </sheetView>
  </sheetViews>
  <sheetFormatPr baseColWidth="10" defaultRowHeight="16" x14ac:dyDescent="0.2"/>
  <cols>
    <col min="1" max="2" width="1" customWidth="1"/>
    <col min="3" max="3" width="26.1640625" bestFit="1" customWidth="1"/>
    <col min="4" max="4" width="60" customWidth="1"/>
    <col min="5" max="5" width="9.83203125" bestFit="1" customWidth="1"/>
  </cols>
  <sheetData>
    <row r="1" spans="3:6" ht="3" customHeight="1" x14ac:dyDescent="0.2"/>
    <row r="2" spans="3:6" ht="3" customHeight="1" x14ac:dyDescent="0.2"/>
    <row r="3" spans="3:6" x14ac:dyDescent="0.2">
      <c r="C3" s="46" t="s">
        <v>4</v>
      </c>
      <c r="D3" s="46" t="s">
        <v>431</v>
      </c>
      <c r="E3" s="46" t="s">
        <v>434</v>
      </c>
      <c r="F3" s="46" t="s">
        <v>432</v>
      </c>
    </row>
    <row r="4" spans="3:6" ht="17" x14ac:dyDescent="0.2">
      <c r="C4" s="47">
        <v>45744</v>
      </c>
      <c r="D4" s="48" t="s">
        <v>542</v>
      </c>
      <c r="E4" s="49">
        <v>223.75</v>
      </c>
      <c r="F4" s="45"/>
    </row>
    <row r="5" spans="3:6" ht="17" x14ac:dyDescent="0.2">
      <c r="C5" s="47">
        <v>45744</v>
      </c>
      <c r="D5" s="48" t="s">
        <v>543</v>
      </c>
      <c r="E5" s="49">
        <v>447.5</v>
      </c>
      <c r="F5" s="45"/>
    </row>
    <row r="6" spans="3:6" ht="17" x14ac:dyDescent="0.2">
      <c r="C6" s="47">
        <v>45745</v>
      </c>
      <c r="D6" s="48" t="s">
        <v>545</v>
      </c>
      <c r="E6" s="49">
        <v>734.5</v>
      </c>
      <c r="F6" s="45"/>
    </row>
    <row r="7" spans="3:6" ht="17" x14ac:dyDescent="0.2">
      <c r="C7" s="47">
        <v>45745</v>
      </c>
      <c r="D7" s="48" t="s">
        <v>546</v>
      </c>
      <c r="E7" s="49">
        <v>259</v>
      </c>
      <c r="F7" s="45"/>
    </row>
    <row r="8" spans="3:6" ht="17" x14ac:dyDescent="0.2">
      <c r="C8" s="47">
        <v>45745</v>
      </c>
      <c r="D8" s="48" t="s">
        <v>547</v>
      </c>
      <c r="E8" s="49">
        <v>157.75</v>
      </c>
      <c r="F8" s="45"/>
    </row>
    <row r="9" spans="3:6" ht="34" x14ac:dyDescent="0.2">
      <c r="C9" s="47">
        <v>45746</v>
      </c>
      <c r="D9" s="48" t="s">
        <v>548</v>
      </c>
      <c r="E9" s="49">
        <v>156.25</v>
      </c>
      <c r="F9" s="45"/>
    </row>
    <row r="10" spans="3:6" ht="17" x14ac:dyDescent="0.2">
      <c r="C10" s="47">
        <v>45746</v>
      </c>
      <c r="D10" s="48" t="s">
        <v>549</v>
      </c>
      <c r="E10" s="49">
        <v>135.75</v>
      </c>
      <c r="F10" s="45"/>
    </row>
    <row r="11" spans="3:6" ht="17" x14ac:dyDescent="0.2">
      <c r="C11" s="47">
        <v>45746</v>
      </c>
      <c r="D11" s="48" t="s">
        <v>550</v>
      </c>
      <c r="E11" s="49">
        <v>231</v>
      </c>
      <c r="F11" s="45"/>
    </row>
    <row r="12" spans="3:6" ht="17" x14ac:dyDescent="0.2">
      <c r="C12" s="47">
        <v>45747</v>
      </c>
      <c r="D12" s="48" t="s">
        <v>551</v>
      </c>
      <c r="E12" s="49">
        <v>92.5</v>
      </c>
      <c r="F12" s="45"/>
    </row>
    <row r="13" spans="3:6" ht="17" x14ac:dyDescent="0.2">
      <c r="C13" s="47">
        <v>45747</v>
      </c>
      <c r="D13" s="48" t="s">
        <v>552</v>
      </c>
      <c r="E13" s="49">
        <v>37</v>
      </c>
      <c r="F13" s="45"/>
    </row>
    <row r="14" spans="3:6" ht="17" x14ac:dyDescent="0.2">
      <c r="C14" s="47">
        <v>45747</v>
      </c>
      <c r="D14" s="48" t="s">
        <v>553</v>
      </c>
      <c r="E14" s="49">
        <v>130</v>
      </c>
      <c r="F14" s="45"/>
    </row>
    <row r="15" spans="3:6" ht="17" x14ac:dyDescent="0.2">
      <c r="C15" s="47">
        <v>45753</v>
      </c>
      <c r="D15" s="48" t="s">
        <v>563</v>
      </c>
      <c r="E15" s="49">
        <v>252.75</v>
      </c>
      <c r="F15" s="45"/>
    </row>
    <row r="16" spans="3:6" ht="17" x14ac:dyDescent="0.2">
      <c r="C16" s="47">
        <v>45765</v>
      </c>
      <c r="D16" s="48" t="s">
        <v>571</v>
      </c>
      <c r="E16" s="49">
        <v>82.5</v>
      </c>
      <c r="F16" s="45"/>
    </row>
    <row r="17" spans="3:6" ht="17" x14ac:dyDescent="0.2">
      <c r="C17" s="47">
        <v>45765</v>
      </c>
      <c r="D17" s="48" t="s">
        <v>572</v>
      </c>
      <c r="E17" s="49">
        <v>629.25</v>
      </c>
      <c r="F17" s="45"/>
    </row>
    <row r="18" spans="3:6" ht="17" x14ac:dyDescent="0.2">
      <c r="C18" s="47">
        <v>45766</v>
      </c>
      <c r="D18" s="48" t="s">
        <v>573</v>
      </c>
      <c r="E18" s="49">
        <v>324</v>
      </c>
      <c r="F18" s="45"/>
    </row>
    <row r="19" spans="3:6" ht="17" x14ac:dyDescent="0.2">
      <c r="C19" s="47">
        <v>45767</v>
      </c>
      <c r="D19" s="48" t="s">
        <v>576</v>
      </c>
      <c r="E19" s="49">
        <v>223.33333333333334</v>
      </c>
      <c r="F19" s="45"/>
    </row>
    <row r="20" spans="3:6" ht="17" x14ac:dyDescent="0.2">
      <c r="C20" s="47">
        <v>45773</v>
      </c>
      <c r="D20" s="48" t="s">
        <v>580</v>
      </c>
      <c r="E20" s="49">
        <v>258</v>
      </c>
      <c r="F20" s="45"/>
    </row>
    <row r="21" spans="3:6" ht="17" x14ac:dyDescent="0.2">
      <c r="C21" s="47">
        <v>45774</v>
      </c>
      <c r="D21" s="48" t="s">
        <v>581</v>
      </c>
      <c r="E21" s="49">
        <v>134.5</v>
      </c>
      <c r="F21" s="45"/>
    </row>
    <row r="22" spans="3:6" ht="17" x14ac:dyDescent="0.2">
      <c r="C22" s="47">
        <v>45774</v>
      </c>
      <c r="D22" s="48" t="s">
        <v>69</v>
      </c>
      <c r="E22" s="49">
        <v>308.5</v>
      </c>
      <c r="F22" s="45"/>
    </row>
    <row r="23" spans="3:6" ht="17" x14ac:dyDescent="0.2">
      <c r="C23" s="47">
        <v>45778</v>
      </c>
      <c r="D23" s="48" t="s">
        <v>589</v>
      </c>
      <c r="E23" s="49">
        <v>163.66666666666666</v>
      </c>
      <c r="F23" s="45"/>
    </row>
    <row r="24" spans="3:6" ht="17" x14ac:dyDescent="0.2">
      <c r="C24" s="47">
        <v>45780</v>
      </c>
      <c r="D24" s="48" t="s">
        <v>592</v>
      </c>
      <c r="E24" s="49">
        <v>153.33333333333334</v>
      </c>
      <c r="F24" s="45"/>
    </row>
    <row r="25" spans="3:6" ht="17" x14ac:dyDescent="0.2">
      <c r="C25" s="47">
        <v>45780</v>
      </c>
      <c r="D25" s="48" t="s">
        <v>594</v>
      </c>
      <c r="E25" s="49">
        <v>115</v>
      </c>
      <c r="F25" s="45"/>
    </row>
    <row r="26" spans="3:6" ht="17" x14ac:dyDescent="0.2">
      <c r="C26" s="47">
        <v>45794</v>
      </c>
      <c r="D26" s="48" t="s">
        <v>599</v>
      </c>
      <c r="E26" s="49">
        <v>450</v>
      </c>
      <c r="F26" s="45"/>
    </row>
    <row r="27" spans="3:6" ht="17" x14ac:dyDescent="0.2">
      <c r="C27" s="47">
        <v>45815</v>
      </c>
      <c r="D27" s="48" t="s">
        <v>612</v>
      </c>
      <c r="E27" s="49">
        <v>370</v>
      </c>
      <c r="F27" s="45"/>
    </row>
    <row r="28" spans="3:6" ht="17" x14ac:dyDescent="0.2">
      <c r="C28" s="47">
        <v>45835</v>
      </c>
      <c r="D28" s="48" t="s">
        <v>605</v>
      </c>
      <c r="E28" s="49">
        <v>450</v>
      </c>
      <c r="F28" s="45"/>
    </row>
    <row r="29" spans="3:6" ht="17" x14ac:dyDescent="0.2">
      <c r="C29" s="47">
        <v>45815</v>
      </c>
      <c r="D29" s="48" t="s">
        <v>569</v>
      </c>
      <c r="E29" s="49">
        <v>227.5</v>
      </c>
      <c r="F29" s="45"/>
    </row>
    <row r="30" spans="3:6" ht="17" x14ac:dyDescent="0.2">
      <c r="C30" s="47">
        <v>45820</v>
      </c>
      <c r="D30" s="48" t="s">
        <v>569</v>
      </c>
      <c r="E30" s="49">
        <v>197</v>
      </c>
      <c r="F30" s="45"/>
    </row>
    <row r="31" spans="3:6" ht="17" x14ac:dyDescent="0.2">
      <c r="C31" s="47">
        <v>45829</v>
      </c>
      <c r="D31" s="48" t="s">
        <v>616</v>
      </c>
      <c r="E31" s="49">
        <v>108.5</v>
      </c>
      <c r="F31" s="45"/>
    </row>
    <row r="32" spans="3:6" ht="17" x14ac:dyDescent="0.2">
      <c r="C32" s="47">
        <v>45829</v>
      </c>
      <c r="D32" s="48" t="s">
        <v>617</v>
      </c>
      <c r="E32" s="49">
        <v>77.75</v>
      </c>
      <c r="F32" s="45"/>
    </row>
    <row r="33" spans="3:6" ht="17" x14ac:dyDescent="0.2">
      <c r="C33" s="47">
        <v>45847</v>
      </c>
      <c r="D33" s="48" t="s">
        <v>649</v>
      </c>
      <c r="E33" s="49">
        <v>165</v>
      </c>
      <c r="F33" s="45"/>
    </row>
    <row r="34" spans="3:6" ht="17" x14ac:dyDescent="0.2">
      <c r="C34" s="47">
        <v>45862</v>
      </c>
      <c r="D34" s="48" t="s">
        <v>638</v>
      </c>
      <c r="E34" s="53">
        <v>70</v>
      </c>
      <c r="F34" s="54"/>
    </row>
    <row r="35" spans="3:6" x14ac:dyDescent="0.2">
      <c r="C35" s="56"/>
      <c r="D35" s="28"/>
      <c r="E35" s="57"/>
    </row>
    <row r="36" spans="3:6" x14ac:dyDescent="0.2">
      <c r="C36" s="56"/>
      <c r="D36" s="28"/>
      <c r="E36" s="57"/>
    </row>
    <row r="37" spans="3:6" x14ac:dyDescent="0.2">
      <c r="C37" s="56"/>
      <c r="D37" s="28"/>
      <c r="E37" s="57"/>
    </row>
    <row r="38" spans="3:6" x14ac:dyDescent="0.2">
      <c r="C38" s="56"/>
      <c r="D38" s="28"/>
      <c r="E38" s="57"/>
    </row>
    <row r="39" spans="3:6" x14ac:dyDescent="0.2">
      <c r="C39" s="56"/>
      <c r="D39" s="28"/>
      <c r="E39" s="57"/>
    </row>
    <row r="40" spans="3:6" x14ac:dyDescent="0.2">
      <c r="C40" s="56"/>
      <c r="D40" s="28"/>
      <c r="E40" s="57"/>
    </row>
    <row r="41" spans="3:6" x14ac:dyDescent="0.2">
      <c r="C41" s="56"/>
      <c r="D41" s="28"/>
      <c r="E41" s="57"/>
    </row>
    <row r="42" spans="3:6" x14ac:dyDescent="0.2">
      <c r="C42" s="56"/>
      <c r="D42" s="28"/>
      <c r="E42" s="57"/>
    </row>
    <row r="43" spans="3:6" x14ac:dyDescent="0.2">
      <c r="C43" s="56"/>
      <c r="D43" s="28"/>
      <c r="E43" s="57"/>
    </row>
    <row r="44" spans="3:6" x14ac:dyDescent="0.2">
      <c r="C44" s="56"/>
      <c r="D44" s="28"/>
      <c r="E44" s="57"/>
    </row>
    <row r="45" spans="3:6" x14ac:dyDescent="0.2">
      <c r="C45" s="56"/>
      <c r="D45" s="28"/>
      <c r="E45" s="57"/>
    </row>
    <row r="46" spans="3:6" x14ac:dyDescent="0.2">
      <c r="C46" s="56"/>
      <c r="D46" s="28"/>
      <c r="E46" s="57"/>
    </row>
    <row r="47" spans="3:6" x14ac:dyDescent="0.2">
      <c r="C47" s="56"/>
      <c r="D47" s="28"/>
      <c r="E47" s="57"/>
    </row>
    <row r="48" spans="3:6" x14ac:dyDescent="0.2">
      <c r="C48" s="56"/>
      <c r="D48" s="28"/>
      <c r="E48" s="57"/>
    </row>
    <row r="49" spans="3:5" x14ac:dyDescent="0.2">
      <c r="C49" s="56"/>
      <c r="D49" s="28"/>
      <c r="E49" s="57"/>
    </row>
    <row r="50" spans="3:5" x14ac:dyDescent="0.2">
      <c r="C50" s="56"/>
      <c r="D50" s="28"/>
      <c r="E50" s="57"/>
    </row>
    <row r="51" spans="3:5" x14ac:dyDescent="0.2">
      <c r="C51" s="56"/>
      <c r="D51" s="28"/>
      <c r="E51" s="57"/>
    </row>
    <row r="52" spans="3:5" x14ac:dyDescent="0.2">
      <c r="C52" s="56"/>
      <c r="D52" s="28"/>
      <c r="E52" s="57"/>
    </row>
    <row r="53" spans="3:5" x14ac:dyDescent="0.2">
      <c r="C53" s="56"/>
      <c r="D53" s="28"/>
      <c r="E53" s="57"/>
    </row>
    <row r="54" spans="3:5" x14ac:dyDescent="0.2">
      <c r="C54" s="56"/>
      <c r="D54" s="28"/>
      <c r="E54" s="57"/>
    </row>
    <row r="55" spans="3:5" x14ac:dyDescent="0.2">
      <c r="C55" s="56"/>
      <c r="D55" s="28"/>
      <c r="E55" s="57"/>
    </row>
    <row r="56" spans="3:5" x14ac:dyDescent="0.2">
      <c r="C56" s="56"/>
      <c r="D56" s="28"/>
      <c r="E56" s="57"/>
    </row>
    <row r="57" spans="3:5" x14ac:dyDescent="0.2">
      <c r="C57" s="56"/>
      <c r="D57" s="28"/>
      <c r="E57" s="57"/>
    </row>
    <row r="58" spans="3:5" x14ac:dyDescent="0.2">
      <c r="C58" s="56"/>
      <c r="D58" s="28"/>
      <c r="E58" s="57"/>
    </row>
    <row r="59" spans="3:5" x14ac:dyDescent="0.2">
      <c r="C59" s="56"/>
      <c r="D59" s="28"/>
      <c r="E59" s="57"/>
    </row>
    <row r="60" spans="3:5" x14ac:dyDescent="0.2">
      <c r="C60" s="56"/>
      <c r="D60" s="28"/>
      <c r="E60" s="57"/>
    </row>
    <row r="61" spans="3:5" x14ac:dyDescent="0.2">
      <c r="C61" s="56"/>
      <c r="D61" s="28"/>
      <c r="E61" s="57"/>
    </row>
    <row r="62" spans="3:5" x14ac:dyDescent="0.2">
      <c r="C62" s="56"/>
      <c r="D62" s="28"/>
      <c r="E62" s="57"/>
    </row>
    <row r="63" spans="3:5" x14ac:dyDescent="0.2">
      <c r="C63" s="56"/>
      <c r="D63" s="28"/>
      <c r="E63" s="57"/>
    </row>
    <row r="64" spans="3:5" x14ac:dyDescent="0.2">
      <c r="C64" s="56"/>
      <c r="D64" s="28"/>
      <c r="E64" s="57"/>
    </row>
    <row r="65" spans="3:5" x14ac:dyDescent="0.2">
      <c r="C65" s="56"/>
      <c r="D65" s="28"/>
      <c r="E65" s="57"/>
    </row>
    <row r="66" spans="3:5" x14ac:dyDescent="0.2">
      <c r="C66" s="56"/>
      <c r="D66" s="28"/>
      <c r="E66" s="57"/>
    </row>
    <row r="67" spans="3:5" x14ac:dyDescent="0.2">
      <c r="C67" s="56"/>
      <c r="D67" s="28"/>
      <c r="E67" s="57"/>
    </row>
    <row r="68" spans="3:5" x14ac:dyDescent="0.2">
      <c r="C68" s="56"/>
      <c r="D68" s="28"/>
      <c r="E68" s="57"/>
    </row>
    <row r="69" spans="3:5" x14ac:dyDescent="0.2">
      <c r="C69" s="56"/>
      <c r="D69" s="28"/>
      <c r="E69" s="57"/>
    </row>
    <row r="70" spans="3:5" x14ac:dyDescent="0.2">
      <c r="C70" s="56"/>
      <c r="D70" s="28"/>
      <c r="E70" s="57"/>
    </row>
    <row r="71" spans="3:5" x14ac:dyDescent="0.2">
      <c r="C71" s="56"/>
      <c r="D71" s="28"/>
      <c r="E71" s="57"/>
    </row>
    <row r="72" spans="3:5" x14ac:dyDescent="0.2">
      <c r="C72" s="56"/>
      <c r="D72" s="28"/>
      <c r="E72" s="57"/>
    </row>
    <row r="73" spans="3:5" x14ac:dyDescent="0.2">
      <c r="C73" s="56"/>
      <c r="D73" s="28"/>
      <c r="E73" s="57"/>
    </row>
    <row r="74" spans="3:5" x14ac:dyDescent="0.2">
      <c r="C74" s="56"/>
      <c r="D74" s="28"/>
      <c r="E74" s="57"/>
    </row>
    <row r="75" spans="3:5" x14ac:dyDescent="0.2">
      <c r="C75" s="56"/>
      <c r="D75" s="28"/>
      <c r="E75" s="57"/>
    </row>
    <row r="76" spans="3:5" x14ac:dyDescent="0.2">
      <c r="C76" s="56"/>
      <c r="D76" s="28"/>
      <c r="E76" s="57"/>
    </row>
    <row r="77" spans="3:5" x14ac:dyDescent="0.2">
      <c r="C77" s="56"/>
      <c r="D77" s="28"/>
      <c r="E77" s="57"/>
    </row>
    <row r="78" spans="3:5" x14ac:dyDescent="0.2">
      <c r="C78" s="56"/>
      <c r="D78" s="28"/>
      <c r="E78" s="57"/>
    </row>
    <row r="79" spans="3:5" x14ac:dyDescent="0.2">
      <c r="C79" s="56"/>
      <c r="D79" s="28"/>
      <c r="E79" s="57"/>
    </row>
    <row r="80" spans="3:5" x14ac:dyDescent="0.2">
      <c r="C80" s="56"/>
      <c r="D80" s="28"/>
      <c r="E80" s="57"/>
    </row>
    <row r="81" spans="3:5" x14ac:dyDescent="0.2">
      <c r="C81" s="56"/>
      <c r="D81" s="28"/>
      <c r="E81" s="57"/>
    </row>
    <row r="82" spans="3:5" x14ac:dyDescent="0.2">
      <c r="C82" s="56"/>
      <c r="D82" s="28"/>
      <c r="E82" s="57"/>
    </row>
    <row r="83" spans="3:5" x14ac:dyDescent="0.2">
      <c r="C83" s="56"/>
      <c r="D83" s="28"/>
      <c r="E83" s="57"/>
    </row>
    <row r="84" spans="3:5" x14ac:dyDescent="0.2">
      <c r="C84" s="56"/>
      <c r="D84" s="28"/>
      <c r="E84" s="57"/>
    </row>
    <row r="85" spans="3:5" x14ac:dyDescent="0.2">
      <c r="C85" s="56"/>
      <c r="D85" s="28"/>
      <c r="E85" s="57"/>
    </row>
    <row r="86" spans="3:5" x14ac:dyDescent="0.2">
      <c r="C86" s="56"/>
      <c r="D86" s="28"/>
      <c r="E86" s="57"/>
    </row>
    <row r="87" spans="3:5" x14ac:dyDescent="0.2">
      <c r="C87" s="56"/>
      <c r="D87" s="28"/>
      <c r="E87" s="57"/>
    </row>
    <row r="88" spans="3:5" x14ac:dyDescent="0.2">
      <c r="C88" s="56"/>
      <c r="D88" s="28"/>
      <c r="E88" s="57"/>
    </row>
    <row r="89" spans="3:5" x14ac:dyDescent="0.2">
      <c r="C89" s="56"/>
      <c r="D89" s="28"/>
      <c r="E89" s="57"/>
    </row>
    <row r="90" spans="3:5" x14ac:dyDescent="0.2">
      <c r="C90" s="56"/>
      <c r="D90" s="28"/>
      <c r="E90" s="57"/>
    </row>
    <row r="91" spans="3:5" x14ac:dyDescent="0.2">
      <c r="C91" s="56"/>
      <c r="D91" s="28"/>
      <c r="E91" s="57"/>
    </row>
    <row r="92" spans="3:5" x14ac:dyDescent="0.2">
      <c r="C92" s="56"/>
      <c r="D92" s="28"/>
      <c r="E92" s="57"/>
    </row>
    <row r="93" spans="3:5" x14ac:dyDescent="0.2">
      <c r="C93" s="56"/>
      <c r="D93" s="28"/>
      <c r="E93" s="57"/>
    </row>
    <row r="94" spans="3:5" x14ac:dyDescent="0.2">
      <c r="C94" s="56"/>
      <c r="D94" s="28"/>
      <c r="E94" s="57"/>
    </row>
    <row r="95" spans="3:5" x14ac:dyDescent="0.2">
      <c r="C95" s="56"/>
      <c r="D95" s="28"/>
      <c r="E95" s="57"/>
    </row>
    <row r="96" spans="3:5" x14ac:dyDescent="0.2">
      <c r="C96" s="56"/>
      <c r="D96" s="28"/>
      <c r="E96" s="57"/>
    </row>
    <row r="97" spans="3:5" x14ac:dyDescent="0.2">
      <c r="C97" s="56"/>
      <c r="D97" s="28"/>
      <c r="E97" s="57"/>
    </row>
    <row r="98" spans="3:5" x14ac:dyDescent="0.2">
      <c r="C98" s="56"/>
      <c r="D98" s="28"/>
      <c r="E98" s="57"/>
    </row>
    <row r="99" spans="3:5" x14ac:dyDescent="0.2">
      <c r="C99" s="56"/>
      <c r="D99" s="28"/>
      <c r="E99" s="57"/>
    </row>
    <row r="100" spans="3:5" x14ac:dyDescent="0.2">
      <c r="C100" s="56"/>
      <c r="D100" s="28"/>
      <c r="E100" s="57"/>
    </row>
    <row r="101" spans="3:5" x14ac:dyDescent="0.2">
      <c r="C101" s="56"/>
      <c r="D101" s="28"/>
      <c r="E101" s="57"/>
    </row>
    <row r="102" spans="3:5" x14ac:dyDescent="0.2">
      <c r="C102" s="56"/>
      <c r="D102" s="28"/>
      <c r="E102" s="57"/>
    </row>
    <row r="103" spans="3:5" x14ac:dyDescent="0.2">
      <c r="C103" s="56"/>
      <c r="D103" s="28"/>
      <c r="E103" s="57"/>
    </row>
    <row r="104" spans="3:5" x14ac:dyDescent="0.2">
      <c r="C104" s="56"/>
      <c r="D104" s="28"/>
      <c r="E104" s="57"/>
    </row>
    <row r="105" spans="3:5" x14ac:dyDescent="0.2">
      <c r="C105" s="56"/>
      <c r="D105" s="28"/>
      <c r="E105" s="57"/>
    </row>
    <row r="106" spans="3:5" x14ac:dyDescent="0.2">
      <c r="C106" s="56"/>
      <c r="D106" s="28"/>
      <c r="E106" s="57"/>
    </row>
    <row r="107" spans="3:5" x14ac:dyDescent="0.2">
      <c r="C107" s="56"/>
      <c r="D107" s="28"/>
      <c r="E107" s="57"/>
    </row>
    <row r="108" spans="3:5" x14ac:dyDescent="0.2">
      <c r="C108" s="56"/>
      <c r="D108" s="28"/>
      <c r="E108" s="57"/>
    </row>
    <row r="109" spans="3:5" x14ac:dyDescent="0.2">
      <c r="C109" s="56"/>
      <c r="D109" s="28"/>
      <c r="E109" s="57"/>
    </row>
    <row r="110" spans="3:5" x14ac:dyDescent="0.2">
      <c r="C110" s="56"/>
      <c r="D110" s="28"/>
      <c r="E110" s="57"/>
    </row>
    <row r="111" spans="3:5" x14ac:dyDescent="0.2">
      <c r="C111" s="56"/>
      <c r="D111" s="28"/>
      <c r="E111" s="57"/>
    </row>
    <row r="112" spans="3:5" x14ac:dyDescent="0.2">
      <c r="C112" s="56"/>
      <c r="D112" s="28"/>
      <c r="E112" s="57"/>
    </row>
    <row r="113" spans="3:5" x14ac:dyDescent="0.2">
      <c r="C113" s="56"/>
      <c r="D113" s="28"/>
      <c r="E113" s="57"/>
    </row>
    <row r="114" spans="3:5" x14ac:dyDescent="0.2">
      <c r="C114" s="56"/>
      <c r="D114" s="28"/>
      <c r="E114" s="57"/>
    </row>
    <row r="115" spans="3:5" x14ac:dyDescent="0.2">
      <c r="C115" s="56"/>
      <c r="D115" s="28"/>
      <c r="E115" s="57"/>
    </row>
    <row r="116" spans="3:5" x14ac:dyDescent="0.2">
      <c r="C116" s="56"/>
      <c r="D116" s="28"/>
      <c r="E116" s="57"/>
    </row>
    <row r="117" spans="3:5" x14ac:dyDescent="0.2">
      <c r="C117" s="56"/>
      <c r="D117" s="28"/>
      <c r="E117" s="57"/>
    </row>
    <row r="118" spans="3:5" x14ac:dyDescent="0.2">
      <c r="C118" s="56"/>
      <c r="D118" s="28"/>
      <c r="E118" s="57"/>
    </row>
    <row r="119" spans="3:5" x14ac:dyDescent="0.2">
      <c r="C119" s="56"/>
      <c r="D119" s="28"/>
      <c r="E119" s="57"/>
    </row>
    <row r="120" spans="3:5" x14ac:dyDescent="0.2">
      <c r="C120" s="56"/>
      <c r="D120" s="28"/>
      <c r="E120" s="57"/>
    </row>
    <row r="121" spans="3:5" x14ac:dyDescent="0.2">
      <c r="C121" s="56"/>
      <c r="D121" s="28"/>
      <c r="E121" s="57"/>
    </row>
    <row r="122" spans="3:5" x14ac:dyDescent="0.2">
      <c r="C122" s="56"/>
      <c r="D122" s="28"/>
      <c r="E122" s="57"/>
    </row>
    <row r="123" spans="3:5" x14ac:dyDescent="0.2">
      <c r="C123" s="56"/>
      <c r="D123" s="28"/>
      <c r="E123" s="57"/>
    </row>
    <row r="124" spans="3:5" x14ac:dyDescent="0.2">
      <c r="C124" s="56"/>
      <c r="D124" s="28"/>
      <c r="E124" s="57"/>
    </row>
    <row r="125" spans="3:5" x14ac:dyDescent="0.2">
      <c r="C125" s="56"/>
      <c r="D125" s="28"/>
      <c r="E125" s="57"/>
    </row>
    <row r="126" spans="3:5" x14ac:dyDescent="0.2">
      <c r="C126" s="56"/>
      <c r="D126" s="28"/>
      <c r="E126" s="57"/>
    </row>
    <row r="127" spans="3:5" x14ac:dyDescent="0.2">
      <c r="C127" s="56"/>
      <c r="D127" s="28"/>
      <c r="E127" s="57"/>
    </row>
    <row r="128" spans="3:5" x14ac:dyDescent="0.2">
      <c r="C128" s="56"/>
      <c r="D128" s="28"/>
      <c r="E128" s="57"/>
    </row>
    <row r="129" spans="3:5" x14ac:dyDescent="0.2">
      <c r="C129" s="56"/>
      <c r="D129" s="28"/>
      <c r="E129" s="57"/>
    </row>
    <row r="130" spans="3:5" x14ac:dyDescent="0.2">
      <c r="C130" s="56"/>
      <c r="D130" s="28"/>
      <c r="E130" s="57"/>
    </row>
    <row r="131" spans="3:5" x14ac:dyDescent="0.2">
      <c r="C131" s="56"/>
      <c r="D131" s="28"/>
      <c r="E131" s="57"/>
    </row>
    <row r="132" spans="3:5" x14ac:dyDescent="0.2">
      <c r="C132" s="56"/>
      <c r="D132" s="28"/>
      <c r="E132" s="57"/>
    </row>
    <row r="133" spans="3:5" x14ac:dyDescent="0.2">
      <c r="C133" s="56"/>
      <c r="D133" s="28"/>
      <c r="E133" s="57"/>
    </row>
    <row r="134" spans="3:5" x14ac:dyDescent="0.2">
      <c r="C134" s="56"/>
      <c r="D134" s="28"/>
      <c r="E134" s="57"/>
    </row>
    <row r="135" spans="3:5" x14ac:dyDescent="0.2">
      <c r="C135" s="56"/>
      <c r="D135" s="28"/>
      <c r="E135" s="57"/>
    </row>
    <row r="136" spans="3:5" x14ac:dyDescent="0.2">
      <c r="C136" s="56"/>
      <c r="D136" s="28"/>
      <c r="E136" s="57"/>
    </row>
    <row r="137" spans="3:5" x14ac:dyDescent="0.2">
      <c r="C137" s="56"/>
      <c r="D137" s="28"/>
      <c r="E137" s="57"/>
    </row>
    <row r="138" spans="3:5" x14ac:dyDescent="0.2">
      <c r="C138" s="56"/>
      <c r="D138" s="28"/>
      <c r="E138" s="57"/>
    </row>
    <row r="139" spans="3:5" x14ac:dyDescent="0.2">
      <c r="C139" s="56"/>
      <c r="D139" s="28"/>
      <c r="E139" s="57"/>
    </row>
    <row r="140" spans="3:5" x14ac:dyDescent="0.2">
      <c r="C140" s="56"/>
      <c r="D140" s="28"/>
      <c r="E140" s="57"/>
    </row>
    <row r="141" spans="3:5" x14ac:dyDescent="0.2">
      <c r="C141" s="56"/>
      <c r="D141" s="28"/>
      <c r="E141" s="57"/>
    </row>
    <row r="142" spans="3:5" x14ac:dyDescent="0.2">
      <c r="C142" s="56"/>
      <c r="D142" s="28"/>
      <c r="E142" s="57"/>
    </row>
    <row r="143" spans="3:5" x14ac:dyDescent="0.2">
      <c r="C143" s="56"/>
      <c r="D143" s="28"/>
      <c r="E143" s="57"/>
    </row>
    <row r="144" spans="3:5" x14ac:dyDescent="0.2">
      <c r="C144" s="56"/>
      <c r="D144" s="28"/>
      <c r="E144" s="57"/>
    </row>
    <row r="145" spans="3:5" x14ac:dyDescent="0.2">
      <c r="C145" s="56"/>
      <c r="D145" s="28"/>
      <c r="E145" s="57"/>
    </row>
    <row r="146" spans="3:5" x14ac:dyDescent="0.2">
      <c r="C146" s="56"/>
      <c r="D146" s="28"/>
      <c r="E146" s="57"/>
    </row>
    <row r="147" spans="3:5" x14ac:dyDescent="0.2">
      <c r="C147" s="56"/>
      <c r="D147" s="28"/>
      <c r="E147" s="57"/>
    </row>
    <row r="148" spans="3:5" x14ac:dyDescent="0.2">
      <c r="C148" s="56"/>
      <c r="D148" s="28"/>
      <c r="E148" s="57"/>
    </row>
    <row r="149" spans="3:5" x14ac:dyDescent="0.2">
      <c r="C149" s="56"/>
      <c r="D149" s="28"/>
      <c r="E149" s="57"/>
    </row>
    <row r="150" spans="3:5" x14ac:dyDescent="0.2">
      <c r="C150" s="56"/>
      <c r="D150" s="28"/>
      <c r="E150" s="57"/>
    </row>
    <row r="151" spans="3:5" x14ac:dyDescent="0.2">
      <c r="C151" s="56"/>
      <c r="D151" s="28"/>
      <c r="E151" s="57"/>
    </row>
    <row r="152" spans="3:5" x14ac:dyDescent="0.2">
      <c r="C152" s="56"/>
      <c r="D152" s="28"/>
      <c r="E152" s="57"/>
    </row>
    <row r="153" spans="3:5" x14ac:dyDescent="0.2">
      <c r="C153" s="56"/>
      <c r="D153" s="60"/>
      <c r="E153" s="57"/>
    </row>
    <row r="154" spans="3:5" x14ac:dyDescent="0.2">
      <c r="C154" s="56"/>
      <c r="D154" s="28"/>
      <c r="E154" s="57"/>
    </row>
    <row r="155" spans="3:5" x14ac:dyDescent="0.2">
      <c r="C155" s="56"/>
      <c r="D155" s="60"/>
      <c r="E155" s="57"/>
    </row>
    <row r="156" spans="3:5" x14ac:dyDescent="0.2">
      <c r="C156" s="56"/>
      <c r="D156" s="28"/>
      <c r="E156" s="57"/>
    </row>
    <row r="157" spans="3:5" x14ac:dyDescent="0.2">
      <c r="C157" s="56"/>
      <c r="D157" s="60"/>
      <c r="E157" s="57"/>
    </row>
    <row r="158" spans="3:5" x14ac:dyDescent="0.2">
      <c r="C158" s="56"/>
      <c r="D158" s="28"/>
      <c r="E158" s="57"/>
    </row>
    <row r="159" spans="3:5" x14ac:dyDescent="0.2">
      <c r="C159" s="56"/>
      <c r="D159" s="28"/>
      <c r="E159" s="57"/>
    </row>
    <row r="160" spans="3:5" x14ac:dyDescent="0.2">
      <c r="C160" s="56"/>
      <c r="D160" s="60"/>
      <c r="E160" s="57"/>
    </row>
    <row r="161" spans="3:5" x14ac:dyDescent="0.2">
      <c r="C161" s="56"/>
      <c r="D161" s="60"/>
      <c r="E161" s="57"/>
    </row>
    <row r="162" spans="3:5" x14ac:dyDescent="0.2">
      <c r="C162" s="56"/>
      <c r="D162" s="60"/>
      <c r="E162" s="57"/>
    </row>
    <row r="163" spans="3:5" x14ac:dyDescent="0.2">
      <c r="C163" s="56"/>
      <c r="D163" s="28"/>
      <c r="E163" s="57"/>
    </row>
    <row r="164" spans="3:5" x14ac:dyDescent="0.2">
      <c r="C164" s="56"/>
      <c r="D164" s="28"/>
      <c r="E164" s="57"/>
    </row>
    <row r="165" spans="3:5" x14ac:dyDescent="0.2">
      <c r="C165" s="56"/>
      <c r="D165" s="28"/>
      <c r="E165" s="57"/>
    </row>
    <row r="166" spans="3:5" x14ac:dyDescent="0.2">
      <c r="C166" s="56"/>
      <c r="D166" s="60"/>
      <c r="E166" s="57"/>
    </row>
    <row r="167" spans="3:5" x14ac:dyDescent="0.2">
      <c r="C167" s="56"/>
      <c r="D167" s="28"/>
      <c r="E167" s="57"/>
    </row>
    <row r="168" spans="3:5" x14ac:dyDescent="0.2">
      <c r="C168" s="56"/>
      <c r="D168" s="60"/>
      <c r="E168" s="57"/>
    </row>
    <row r="169" spans="3:5" x14ac:dyDescent="0.2">
      <c r="C169" s="56"/>
      <c r="D169" s="28"/>
      <c r="E169" s="57"/>
    </row>
    <row r="170" spans="3:5" x14ac:dyDescent="0.2">
      <c r="C170" s="56"/>
      <c r="D170" s="60"/>
      <c r="E170" s="57"/>
    </row>
    <row r="171" spans="3:5" x14ac:dyDescent="0.2">
      <c r="C171" s="56"/>
      <c r="D171" s="28"/>
      <c r="E171" s="57"/>
    </row>
    <row r="172" spans="3:5" x14ac:dyDescent="0.2">
      <c r="C172" s="56"/>
      <c r="D172" s="60"/>
      <c r="E172" s="57"/>
    </row>
    <row r="173" spans="3:5" x14ac:dyDescent="0.2">
      <c r="C173" s="56"/>
      <c r="D173" s="28"/>
      <c r="E173" s="57"/>
    </row>
    <row r="174" spans="3:5" x14ac:dyDescent="0.2">
      <c r="C174" s="56"/>
      <c r="D174" s="28"/>
      <c r="E174" s="57"/>
    </row>
    <row r="175" spans="3:5" x14ac:dyDescent="0.2">
      <c r="C175" s="56"/>
      <c r="D175" s="60"/>
      <c r="E175" s="57"/>
    </row>
    <row r="176" spans="3:5" x14ac:dyDescent="0.2">
      <c r="C176" s="56"/>
      <c r="D176" s="60"/>
      <c r="E176" s="57"/>
    </row>
    <row r="177" spans="3:5" x14ac:dyDescent="0.2">
      <c r="C177" s="56"/>
      <c r="D177" s="60"/>
      <c r="E177" s="57"/>
    </row>
    <row r="178" spans="3:5" x14ac:dyDescent="0.2">
      <c r="C178" s="56"/>
      <c r="D178" s="28"/>
      <c r="E178" s="57"/>
    </row>
    <row r="179" spans="3:5" x14ac:dyDescent="0.2">
      <c r="C179" s="56"/>
      <c r="D179" s="28"/>
      <c r="E179" s="57"/>
    </row>
    <row r="180" spans="3:5" x14ac:dyDescent="0.2">
      <c r="C180" s="56"/>
      <c r="D180" s="28"/>
      <c r="E180" s="57"/>
    </row>
    <row r="181" spans="3:5" x14ac:dyDescent="0.2">
      <c r="C181" s="56"/>
      <c r="D181" s="28"/>
      <c r="E181" s="57"/>
    </row>
    <row r="182" spans="3:5" x14ac:dyDescent="0.2">
      <c r="C182" s="56"/>
      <c r="D182" s="28"/>
      <c r="E182" s="57"/>
    </row>
    <row r="183" spans="3:5" x14ac:dyDescent="0.2">
      <c r="C183" s="56"/>
      <c r="D183" s="60"/>
      <c r="E183" s="57"/>
    </row>
    <row r="184" spans="3:5" x14ac:dyDescent="0.2">
      <c r="C184" s="56"/>
      <c r="D184" s="60"/>
      <c r="E184" s="57"/>
    </row>
    <row r="185" spans="3:5" x14ac:dyDescent="0.2">
      <c r="C185" s="56"/>
      <c r="D185" s="28"/>
      <c r="E185" s="57"/>
    </row>
    <row r="186" spans="3:5" x14ac:dyDescent="0.2">
      <c r="C186" s="56"/>
      <c r="D186" s="28"/>
      <c r="E186" s="57"/>
    </row>
    <row r="187" spans="3:5" x14ac:dyDescent="0.2">
      <c r="C187" s="56"/>
      <c r="D187" s="28"/>
      <c r="E187" s="57"/>
    </row>
    <row r="188" spans="3:5" x14ac:dyDescent="0.2">
      <c r="C188" s="56"/>
      <c r="D188" s="28"/>
      <c r="E188" s="57"/>
    </row>
    <row r="189" spans="3:5" x14ac:dyDescent="0.2">
      <c r="C189" s="56"/>
      <c r="D189" s="28"/>
      <c r="E189" s="57"/>
    </row>
    <row r="190" spans="3:5" x14ac:dyDescent="0.2">
      <c r="C190" s="56"/>
      <c r="D190" s="28"/>
      <c r="E190" s="57"/>
    </row>
    <row r="191" spans="3:5" x14ac:dyDescent="0.2">
      <c r="C191" s="56"/>
      <c r="D191" s="28"/>
      <c r="E191" s="57"/>
    </row>
    <row r="192" spans="3:5" x14ac:dyDescent="0.2">
      <c r="C192" s="56"/>
      <c r="D192" s="28"/>
      <c r="E192" s="57"/>
    </row>
    <row r="193" spans="3:5" x14ac:dyDescent="0.2">
      <c r="C193" s="56"/>
      <c r="D193" s="28"/>
      <c r="E193" s="61"/>
    </row>
    <row r="194" spans="3:5" x14ac:dyDescent="0.2">
      <c r="C194" s="56"/>
      <c r="D194" s="28"/>
      <c r="E194" s="57"/>
    </row>
    <row r="195" spans="3:5" x14ac:dyDescent="0.2">
      <c r="C195" s="56"/>
      <c r="D195" s="28"/>
      <c r="E195" s="61"/>
    </row>
    <row r="196" spans="3:5" x14ac:dyDescent="0.2">
      <c r="C196" s="56"/>
      <c r="D196" s="28"/>
      <c r="E196" s="57"/>
    </row>
    <row r="197" spans="3:5" x14ac:dyDescent="0.2">
      <c r="C197" s="56"/>
      <c r="D197" s="28"/>
      <c r="E197" s="57"/>
    </row>
    <row r="198" spans="3:5" x14ac:dyDescent="0.2">
      <c r="C198" s="56"/>
      <c r="D198" s="28"/>
      <c r="E198" s="57"/>
    </row>
    <row r="199" spans="3:5" x14ac:dyDescent="0.2">
      <c r="C199" s="56"/>
      <c r="D199" s="28"/>
      <c r="E199" s="61"/>
    </row>
    <row r="200" spans="3:5" x14ac:dyDescent="0.2">
      <c r="C200" s="56"/>
      <c r="D200" s="28"/>
      <c r="E200" s="57"/>
    </row>
    <row r="201" spans="3:5" x14ac:dyDescent="0.2">
      <c r="C201" s="56"/>
      <c r="D201" s="28"/>
      <c r="E201" s="57"/>
    </row>
    <row r="202" spans="3:5" x14ac:dyDescent="0.2">
      <c r="C202" s="56"/>
      <c r="D202" s="28"/>
      <c r="E202" s="61"/>
    </row>
    <row r="203" spans="3:5" x14ac:dyDescent="0.2">
      <c r="C203" s="56"/>
      <c r="D203" s="28"/>
      <c r="E203" s="57"/>
    </row>
    <row r="204" spans="3:5" x14ac:dyDescent="0.2">
      <c r="C204" s="56"/>
      <c r="D204" s="28"/>
      <c r="E204" s="61"/>
    </row>
    <row r="205" spans="3:5" x14ac:dyDescent="0.2">
      <c r="C205" s="56"/>
      <c r="D205" s="28"/>
      <c r="E205" s="61"/>
    </row>
    <row r="206" spans="3:5" x14ac:dyDescent="0.2">
      <c r="C206" s="56"/>
      <c r="D206" s="28"/>
      <c r="E206" s="57"/>
    </row>
    <row r="207" spans="3:5" x14ac:dyDescent="0.2">
      <c r="C207" s="56"/>
      <c r="D207" s="28"/>
      <c r="E207" s="61"/>
    </row>
    <row r="208" spans="3:5" x14ac:dyDescent="0.2">
      <c r="C208" s="56"/>
      <c r="D208" s="28"/>
      <c r="E208" s="61"/>
    </row>
    <row r="209" spans="3:5" x14ac:dyDescent="0.2">
      <c r="C209" s="56"/>
      <c r="D209" s="28"/>
      <c r="E209" s="61"/>
    </row>
    <row r="210" spans="3:5" x14ac:dyDescent="0.2">
      <c r="C210" s="56"/>
      <c r="D210" s="28"/>
      <c r="E210" s="61"/>
    </row>
    <row r="211" spans="3:5" x14ac:dyDescent="0.2">
      <c r="C211" s="56"/>
      <c r="D211" s="28"/>
      <c r="E211" s="61"/>
    </row>
    <row r="212" spans="3:5" x14ac:dyDescent="0.2">
      <c r="C212" s="56"/>
      <c r="D212" s="28"/>
      <c r="E212" s="61"/>
    </row>
    <row r="213" spans="3:5" x14ac:dyDescent="0.2">
      <c r="C213" s="56"/>
      <c r="D213" s="28"/>
      <c r="E213" s="57"/>
    </row>
    <row r="214" spans="3:5" x14ac:dyDescent="0.2">
      <c r="C214" s="56"/>
      <c r="D214" s="28"/>
      <c r="E214" s="57"/>
    </row>
    <row r="215" spans="3:5" x14ac:dyDescent="0.2">
      <c r="C215" s="56"/>
      <c r="D215" s="28"/>
      <c r="E215" s="57"/>
    </row>
    <row r="216" spans="3:5" x14ac:dyDescent="0.2">
      <c r="C216" s="56"/>
      <c r="D216" s="28"/>
      <c r="E216" s="57"/>
    </row>
    <row r="217" spans="3:5" x14ac:dyDescent="0.2">
      <c r="C217" s="56"/>
      <c r="D217" s="60"/>
      <c r="E217" s="57"/>
    </row>
    <row r="218" spans="3:5" x14ac:dyDescent="0.2">
      <c r="C218" s="56"/>
      <c r="D218" s="28"/>
      <c r="E218" s="57"/>
    </row>
    <row r="219" spans="3:5" x14ac:dyDescent="0.2">
      <c r="C219" s="56"/>
      <c r="D219" s="28"/>
      <c r="E219" s="57"/>
    </row>
    <row r="220" spans="3:5" x14ac:dyDescent="0.2">
      <c r="C220" s="56"/>
      <c r="D220" s="28"/>
      <c r="E220" s="57"/>
    </row>
    <row r="221" spans="3:5" x14ac:dyDescent="0.2">
      <c r="C221" s="56"/>
      <c r="D221" s="60"/>
      <c r="E221" s="57"/>
    </row>
    <row r="222" spans="3:5" x14ac:dyDescent="0.2">
      <c r="C222" s="56"/>
      <c r="D222" s="28"/>
      <c r="E222" s="57"/>
    </row>
    <row r="223" spans="3:5" x14ac:dyDescent="0.2">
      <c r="C223" s="56"/>
      <c r="D223" s="60"/>
      <c r="E223" s="57"/>
    </row>
    <row r="224" spans="3:5" x14ac:dyDescent="0.2">
      <c r="C224" s="56"/>
      <c r="D224" s="60"/>
      <c r="E224" s="57"/>
    </row>
    <row r="225" spans="3:5" x14ac:dyDescent="0.2">
      <c r="C225" s="56"/>
      <c r="D225" s="28"/>
      <c r="E225" s="57"/>
    </row>
    <row r="226" spans="3:5" x14ac:dyDescent="0.2">
      <c r="C226" s="56"/>
      <c r="D226" s="28"/>
      <c r="E226" s="57"/>
    </row>
    <row r="227" spans="3:5" x14ac:dyDescent="0.2">
      <c r="C227" s="56"/>
      <c r="D227" s="28"/>
      <c r="E227" s="57"/>
    </row>
    <row r="228" spans="3:5" x14ac:dyDescent="0.2">
      <c r="C228" s="56"/>
      <c r="D228" s="28"/>
      <c r="E228" s="57"/>
    </row>
    <row r="229" spans="3:5" x14ac:dyDescent="0.2">
      <c r="C229" s="56"/>
      <c r="D229" s="28"/>
      <c r="E229" s="57"/>
    </row>
    <row r="230" spans="3:5" x14ac:dyDescent="0.2">
      <c r="C230" s="56"/>
      <c r="D230" s="28"/>
      <c r="E230" s="57"/>
    </row>
    <row r="231" spans="3:5" x14ac:dyDescent="0.2">
      <c r="C231" s="56"/>
      <c r="D231" s="28"/>
      <c r="E231" s="57"/>
    </row>
    <row r="232" spans="3:5" x14ac:dyDescent="0.2">
      <c r="C232" s="56"/>
      <c r="D232" s="60"/>
      <c r="E232" s="57"/>
    </row>
    <row r="233" spans="3:5" x14ac:dyDescent="0.2">
      <c r="C233" s="56"/>
      <c r="D233" s="28"/>
      <c r="E233" s="57"/>
    </row>
    <row r="234" spans="3:5" x14ac:dyDescent="0.2">
      <c r="C234" s="56"/>
      <c r="D234" s="28"/>
      <c r="E234" s="57"/>
    </row>
    <row r="235" spans="3:5" x14ac:dyDescent="0.2">
      <c r="C235" s="56"/>
      <c r="D235" s="60"/>
      <c r="E235" s="57"/>
    </row>
    <row r="236" spans="3:5" x14ac:dyDescent="0.2">
      <c r="C236" s="56"/>
      <c r="D236" s="28"/>
      <c r="E236" s="57"/>
    </row>
    <row r="237" spans="3:5" x14ac:dyDescent="0.2">
      <c r="C237" s="56"/>
      <c r="D237" s="28"/>
      <c r="E237" s="57"/>
    </row>
    <row r="238" spans="3:5" x14ac:dyDescent="0.2">
      <c r="C238" s="56"/>
      <c r="D238" s="28"/>
      <c r="E238" s="57"/>
    </row>
    <row r="239" spans="3:5" x14ac:dyDescent="0.2">
      <c r="C239" s="56"/>
      <c r="D239" s="28"/>
      <c r="E239" s="57"/>
    </row>
    <row r="240" spans="3:5" x14ac:dyDescent="0.2">
      <c r="C240" s="56"/>
      <c r="D240" s="28"/>
      <c r="E240" s="57"/>
    </row>
    <row r="241" spans="3:5" x14ac:dyDescent="0.2">
      <c r="C241" s="56"/>
      <c r="D241" s="28"/>
      <c r="E241" s="57"/>
    </row>
    <row r="242" spans="3:5" x14ac:dyDescent="0.2">
      <c r="C242" s="56"/>
      <c r="D242" s="28"/>
      <c r="E242" s="57"/>
    </row>
    <row r="243" spans="3:5" x14ac:dyDescent="0.2">
      <c r="C243" s="56"/>
      <c r="D243" s="28"/>
      <c r="E243" s="57"/>
    </row>
    <row r="244" spans="3:5" x14ac:dyDescent="0.2">
      <c r="C244" s="56"/>
      <c r="D244" s="28"/>
      <c r="E244" s="61"/>
    </row>
    <row r="245" spans="3:5" x14ac:dyDescent="0.2">
      <c r="C245" s="56"/>
      <c r="D245" s="28"/>
      <c r="E245" s="57"/>
    </row>
    <row r="246" spans="3:5" x14ac:dyDescent="0.2">
      <c r="C246" s="56"/>
      <c r="D246" s="28"/>
      <c r="E246" s="61"/>
    </row>
    <row r="247" spans="3:5" x14ac:dyDescent="0.2">
      <c r="C247" s="56"/>
      <c r="D247" s="28"/>
      <c r="E247" s="57"/>
    </row>
    <row r="248" spans="3:5" x14ac:dyDescent="0.2">
      <c r="C248" s="56"/>
      <c r="D248" s="28"/>
      <c r="E248" s="57"/>
    </row>
    <row r="249" spans="3:5" x14ac:dyDescent="0.2">
      <c r="C249" s="56"/>
      <c r="D249" s="28"/>
      <c r="E249" s="57"/>
    </row>
    <row r="250" spans="3:5" x14ac:dyDescent="0.2">
      <c r="C250" s="56"/>
      <c r="D250" s="28"/>
      <c r="E250" s="61"/>
    </row>
    <row r="251" spans="3:5" x14ac:dyDescent="0.2">
      <c r="C251" s="56"/>
      <c r="D251" s="28"/>
      <c r="E251" s="57"/>
    </row>
    <row r="252" spans="3:5" x14ac:dyDescent="0.2">
      <c r="C252" s="56"/>
      <c r="D252" s="28"/>
      <c r="E252" s="57"/>
    </row>
    <row r="253" spans="3:5" x14ac:dyDescent="0.2">
      <c r="C253" s="56"/>
      <c r="D253" s="28"/>
      <c r="E253" s="57"/>
    </row>
    <row r="254" spans="3:5" x14ac:dyDescent="0.2">
      <c r="C254" s="56"/>
      <c r="D254" s="28"/>
      <c r="E254" s="61"/>
    </row>
    <row r="255" spans="3:5" x14ac:dyDescent="0.2">
      <c r="C255" s="56"/>
      <c r="D255" s="28"/>
      <c r="E255" s="57"/>
    </row>
    <row r="256" spans="3:5" x14ac:dyDescent="0.2">
      <c r="C256" s="56"/>
      <c r="D256" s="28"/>
      <c r="E256" s="61"/>
    </row>
    <row r="257" spans="3:5" x14ac:dyDescent="0.2">
      <c r="C257" s="56"/>
      <c r="D257" s="28"/>
      <c r="E257" s="61"/>
    </row>
    <row r="258" spans="3:5" x14ac:dyDescent="0.2">
      <c r="C258" s="56"/>
      <c r="D258" s="28"/>
      <c r="E258" s="61"/>
    </row>
    <row r="259" spans="3:5" x14ac:dyDescent="0.2">
      <c r="C259" s="56"/>
      <c r="D259" s="28"/>
      <c r="E259" s="57"/>
    </row>
    <row r="260" spans="3:5" x14ac:dyDescent="0.2">
      <c r="C260" s="56"/>
      <c r="D260" s="28"/>
      <c r="E260" s="61"/>
    </row>
    <row r="261" spans="3:5" x14ac:dyDescent="0.2">
      <c r="C261" s="56"/>
      <c r="D261" s="28"/>
      <c r="E261" s="61"/>
    </row>
    <row r="262" spans="3:5" x14ac:dyDescent="0.2">
      <c r="C262" s="56"/>
      <c r="D262" s="28"/>
      <c r="E262" s="61"/>
    </row>
    <row r="263" spans="3:5" x14ac:dyDescent="0.2">
      <c r="C263" s="56"/>
      <c r="D263" s="28"/>
      <c r="E263" s="61"/>
    </row>
    <row r="264" spans="3:5" x14ac:dyDescent="0.2">
      <c r="C264" s="56"/>
      <c r="D264" s="28"/>
      <c r="E264" s="61"/>
    </row>
    <row r="265" spans="3:5" x14ac:dyDescent="0.2">
      <c r="C265" s="56"/>
      <c r="D265" s="28"/>
      <c r="E265" s="61"/>
    </row>
    <row r="266" spans="3:5" x14ac:dyDescent="0.2">
      <c r="C266" s="56"/>
      <c r="D266" s="28"/>
      <c r="E266" s="57"/>
    </row>
    <row r="267" spans="3:5" x14ac:dyDescent="0.2">
      <c r="C267" s="56"/>
      <c r="D267" s="28"/>
      <c r="E267" s="57"/>
    </row>
    <row r="268" spans="3:5" x14ac:dyDescent="0.2">
      <c r="C268" s="56"/>
      <c r="D268" s="28"/>
      <c r="E268" s="5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E26BC-1203-774E-A3A4-940E1F94865F}">
  <dimension ref="A1:F41"/>
  <sheetViews>
    <sheetView workbookViewId="0">
      <selection activeCell="A7" sqref="A7"/>
    </sheetView>
  </sheetViews>
  <sheetFormatPr baseColWidth="10" defaultRowHeight="16" x14ac:dyDescent="0.2"/>
  <cols>
    <col min="1" max="1" width="14.33203125" bestFit="1" customWidth="1"/>
    <col min="6" max="6" width="17" bestFit="1" customWidth="1"/>
  </cols>
  <sheetData>
    <row r="1" spans="1:6" x14ac:dyDescent="0.2">
      <c r="A1" t="s">
        <v>21</v>
      </c>
    </row>
    <row r="2" spans="1:6" x14ac:dyDescent="0.2">
      <c r="A2" t="s">
        <v>22</v>
      </c>
    </row>
    <row r="3" spans="1:6" x14ac:dyDescent="0.2">
      <c r="A3" t="s">
        <v>23</v>
      </c>
    </row>
    <row r="4" spans="1:6" x14ac:dyDescent="0.2">
      <c r="A4" t="s">
        <v>55</v>
      </c>
    </row>
    <row r="5" spans="1:6" x14ac:dyDescent="0.2">
      <c r="A5" t="s">
        <v>56</v>
      </c>
    </row>
    <row r="6" spans="1:6" x14ac:dyDescent="0.2">
      <c r="A6" t="s">
        <v>195</v>
      </c>
    </row>
    <row r="10" spans="1:6" x14ac:dyDescent="0.2">
      <c r="A10" s="8"/>
      <c r="B10" s="8"/>
      <c r="C10" s="2"/>
      <c r="D10" s="6"/>
      <c r="E10" s="2"/>
      <c r="F10" s="7"/>
    </row>
    <row r="11" spans="1:6" x14ac:dyDescent="0.2">
      <c r="A11" s="8"/>
      <c r="B11" s="8"/>
      <c r="C11" s="2"/>
      <c r="D11" s="6"/>
      <c r="E11" s="2"/>
      <c r="F11" s="7"/>
    </row>
    <row r="12" spans="1:6" x14ac:dyDescent="0.2">
      <c r="A12" s="8"/>
      <c r="B12" s="8"/>
      <c r="C12" s="2"/>
      <c r="D12" s="6"/>
      <c r="E12" s="2"/>
      <c r="F12" s="7"/>
    </row>
    <row r="13" spans="1:6" x14ac:dyDescent="0.2">
      <c r="A13" s="8"/>
      <c r="B13" s="8"/>
      <c r="C13" s="2"/>
      <c r="D13" s="6"/>
      <c r="E13" s="2"/>
      <c r="F13" s="7"/>
    </row>
    <row r="14" spans="1:6" x14ac:dyDescent="0.2">
      <c r="A14" s="8"/>
      <c r="B14" s="8"/>
      <c r="C14" s="2"/>
      <c r="D14" s="6"/>
      <c r="E14" s="2"/>
      <c r="F14" s="7"/>
    </row>
    <row r="15" spans="1:6" x14ac:dyDescent="0.2">
      <c r="A15" s="8"/>
      <c r="B15" s="8"/>
      <c r="C15" s="2"/>
      <c r="D15" s="6"/>
      <c r="E15" s="9"/>
      <c r="F15" s="7"/>
    </row>
    <row r="16" spans="1:6" x14ac:dyDescent="0.2">
      <c r="A16" s="8"/>
      <c r="B16" s="8"/>
      <c r="C16" s="2"/>
      <c r="D16" s="6"/>
      <c r="E16" s="2"/>
      <c r="F16" s="7"/>
    </row>
    <row r="17" spans="1:6" x14ac:dyDescent="0.2">
      <c r="A17" s="8"/>
      <c r="B17" s="8"/>
      <c r="C17" s="2"/>
      <c r="D17" s="6"/>
      <c r="E17" s="2"/>
      <c r="F17" s="7"/>
    </row>
    <row r="18" spans="1:6" x14ac:dyDescent="0.2">
      <c r="A18" s="8"/>
      <c r="B18" s="8"/>
      <c r="C18" s="2"/>
      <c r="D18" s="6"/>
      <c r="E18" s="2"/>
      <c r="F18" s="7"/>
    </row>
    <row r="19" spans="1:6" x14ac:dyDescent="0.2">
      <c r="A19" s="8"/>
      <c r="B19" s="8"/>
      <c r="C19" s="2"/>
      <c r="D19" s="6"/>
      <c r="E19" s="2"/>
      <c r="F19" s="7"/>
    </row>
    <row r="20" spans="1:6" x14ac:dyDescent="0.2">
      <c r="A20" s="8"/>
      <c r="B20" s="8"/>
      <c r="C20" s="2"/>
      <c r="D20" s="6"/>
      <c r="E20" s="2"/>
      <c r="F20" s="7"/>
    </row>
    <row r="21" spans="1:6" x14ac:dyDescent="0.2">
      <c r="A21" s="8"/>
      <c r="B21" s="8"/>
      <c r="C21" s="2"/>
      <c r="D21" s="6"/>
      <c r="E21" s="2"/>
      <c r="F21" s="7"/>
    </row>
    <row r="22" spans="1:6" x14ac:dyDescent="0.2">
      <c r="A22" s="8"/>
      <c r="B22" s="8"/>
      <c r="C22" s="2"/>
      <c r="D22" s="6"/>
      <c r="E22" s="2"/>
      <c r="F22" s="7"/>
    </row>
    <row r="23" spans="1:6" x14ac:dyDescent="0.2">
      <c r="A23" s="8"/>
      <c r="B23" s="8"/>
      <c r="C23" s="2"/>
      <c r="D23" s="6"/>
      <c r="E23" s="2"/>
      <c r="F23" s="7"/>
    </row>
    <row r="24" spans="1:6" x14ac:dyDescent="0.2">
      <c r="A24" s="8"/>
      <c r="B24" s="8"/>
      <c r="C24" s="2"/>
      <c r="D24" s="6"/>
      <c r="E24" s="2"/>
      <c r="F24" s="7"/>
    </row>
    <row r="25" spans="1:6" x14ac:dyDescent="0.2">
      <c r="A25" s="8"/>
      <c r="B25" s="8"/>
      <c r="C25" s="2"/>
      <c r="D25" s="6"/>
      <c r="E25" s="2"/>
      <c r="F25" s="7"/>
    </row>
    <row r="26" spans="1:6" x14ac:dyDescent="0.2">
      <c r="A26" s="8"/>
      <c r="B26" s="8"/>
      <c r="C26" s="2"/>
      <c r="D26" s="6"/>
      <c r="E26" s="2"/>
      <c r="F26" s="7"/>
    </row>
    <row r="27" spans="1:6" x14ac:dyDescent="0.2">
      <c r="A27" s="8"/>
      <c r="B27" s="8"/>
      <c r="C27" s="2"/>
      <c r="D27" s="6"/>
      <c r="E27" s="2"/>
      <c r="F27" s="7"/>
    </row>
    <row r="28" spans="1:6" x14ac:dyDescent="0.2">
      <c r="A28" s="8"/>
      <c r="B28" s="8"/>
      <c r="C28" s="2"/>
      <c r="D28" s="6"/>
      <c r="E28" s="2"/>
      <c r="F28" s="7"/>
    </row>
    <row r="30" spans="1:6" x14ac:dyDescent="0.2">
      <c r="A30" s="8"/>
      <c r="B30" s="8"/>
      <c r="C30" s="2"/>
      <c r="D30" s="6"/>
      <c r="E30" s="2"/>
      <c r="F30" s="7"/>
    </row>
    <row r="32" spans="1:6" x14ac:dyDescent="0.2">
      <c r="A32" s="8"/>
      <c r="B32" s="8"/>
      <c r="C32" s="2"/>
      <c r="D32" s="6"/>
      <c r="E32" s="2"/>
      <c r="F32" s="7"/>
    </row>
    <row r="33" spans="1:6" x14ac:dyDescent="0.2">
      <c r="A33" s="8"/>
      <c r="B33" s="8"/>
      <c r="C33" s="2"/>
      <c r="D33" s="6"/>
      <c r="E33" s="2"/>
      <c r="F33" s="7"/>
    </row>
    <row r="35" spans="1:6" x14ac:dyDescent="0.2">
      <c r="A35" s="8"/>
      <c r="B35" s="8"/>
      <c r="C35" s="2"/>
      <c r="D35" s="6"/>
      <c r="E35" s="2"/>
      <c r="F35" s="7"/>
    </row>
    <row r="36" spans="1:6" x14ac:dyDescent="0.2">
      <c r="A36" s="8"/>
      <c r="B36" s="8"/>
      <c r="C36" s="2"/>
      <c r="D36" s="6"/>
      <c r="E36" s="2"/>
      <c r="F36" s="7"/>
    </row>
    <row r="37" spans="1:6" x14ac:dyDescent="0.2">
      <c r="A37" s="8"/>
      <c r="B37" s="8"/>
      <c r="C37" s="2"/>
      <c r="D37" s="6"/>
      <c r="E37" s="2"/>
      <c r="F37" s="7"/>
    </row>
    <row r="38" spans="1:6" x14ac:dyDescent="0.2">
      <c r="A38" s="8"/>
      <c r="B38" s="8"/>
      <c r="C38" s="2"/>
      <c r="D38" s="6"/>
      <c r="E38" s="2"/>
      <c r="F38" s="7"/>
    </row>
    <row r="39" spans="1:6" x14ac:dyDescent="0.2">
      <c r="A39" s="8"/>
      <c r="B39" s="8"/>
      <c r="C39" s="2"/>
      <c r="D39" s="6"/>
      <c r="E39" s="2"/>
      <c r="F39" s="7"/>
    </row>
    <row r="41" spans="1:6" x14ac:dyDescent="0.2">
      <c r="A41" s="8"/>
      <c r="B41" s="8"/>
      <c r="C41" s="2"/>
      <c r="D41" s="6"/>
      <c r="E41" s="2"/>
      <c r="F41" s="7"/>
    </row>
  </sheetData>
  <conditionalFormatting sqref="A10:F28 A30:F30 A32:F33 A35:F39 A41:F41">
    <cfRule type="expression" dxfId="3" priority="5">
      <formula>($B10=$A$5)</formula>
    </cfRule>
    <cfRule type="expression" dxfId="2" priority="6">
      <formula>($B10=$A$4)</formula>
    </cfRule>
    <cfRule type="expression" dxfId="1" priority="7">
      <formula>($B10=$A$3)</formula>
    </cfRule>
    <cfRule type="expression" dxfId="0" priority="8">
      <formula>($B10=$A$2)</formula>
    </cfRule>
  </conditionalFormatting>
  <dataValidations count="1">
    <dataValidation type="list" allowBlank="1" showInputMessage="1" showErrorMessage="1" errorTitle="ERROR!!" error="Please Enter a Valid Input" sqref="B30 B41 B10:B28 B32:B33 B35:B39" xr:uid="{F8D94497-897B-A74F-B1BA-D1C6F0D0F845}">
      <formula1>$A$2:$A$8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Till Dec End 2024</vt:lpstr>
      <vt:lpstr>Jan 2025</vt:lpstr>
      <vt:lpstr>Shashank</vt:lpstr>
      <vt:lpstr>Rishab</vt:lpstr>
      <vt:lpstr>Saatvik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Gupta</dc:creator>
  <cp:lastModifiedBy>Ritik Gupta</cp:lastModifiedBy>
  <dcterms:created xsi:type="dcterms:W3CDTF">2023-08-30T05:35:18Z</dcterms:created>
  <dcterms:modified xsi:type="dcterms:W3CDTF">2025-08-08T13:55:09Z</dcterms:modified>
</cp:coreProperties>
</file>