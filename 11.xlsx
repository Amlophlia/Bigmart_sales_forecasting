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2"/>
  <workbookPr/>
  <mc:AlternateContent xmlns:mc="http://schemas.openxmlformats.org/markup-compatibility/2006">
    <mc:Choice Requires="x15">
      <x15ac:absPath xmlns:x15ac="http://schemas.microsoft.com/office/spreadsheetml/2010/11/ac" url="/Users/ritikgupta/Downloads/"/>
    </mc:Choice>
  </mc:AlternateContent>
  <xr:revisionPtr revIDLastSave="0" documentId="13_ncr:1_{C30EB874-FD84-D042-8A76-C285817C0020}" xr6:coauthVersionLast="47" xr6:coauthVersionMax="47" xr10:uidLastSave="{00000000-0000-0000-0000-000000000000}"/>
  <bookViews>
    <workbookView xWindow="0" yWindow="660" windowWidth="30240" windowHeight="17680" activeTab="4" xr2:uid="{00000000-000D-0000-FFFF-FFFF00000000}"/>
  </bookViews>
  <sheets>
    <sheet name="Settings" sheetId="1" r:id="rId1"/>
    <sheet name="Budget Planning" sheetId="2" r:id="rId2"/>
    <sheet name="Budget Tracking" sheetId="3" r:id="rId3"/>
    <sheet name="Budget Dashboard" sheetId="4" r:id="rId4"/>
    <sheet name="Calculations" sheetId="5" r:id="rId5"/>
    <sheet name="Dropdown Data" sheetId="6" r:id="rId6"/>
  </sheets>
  <definedNames>
    <definedName name="budget" localSheetId="3">'Budget Dashboard'!$L1</definedName>
    <definedName name="budget_range" localSheetId="3">'Budget Dashboard'!$Q1</definedName>
    <definedName name="budget_rank" localSheetId="3">'Budget Dashboard'!$R1</definedName>
    <definedName name="comb_rank" localSheetId="3">'Budget Dashboard'!$S1</definedName>
    <definedName name="comb_rank_norm" localSheetId="3">'Budget Dashboard'!$U1</definedName>
    <definedName name="comb_rank_norm_run_range" localSheetId="3">'Budget Dashboard'!$V1</definedName>
    <definedName name="comb_rank_range" localSheetId="3">'Budget Dashboard'!$T1</definedName>
    <definedName name="comb_rank_unique" localSheetId="3">'Budget Dashboard'!$W1</definedName>
    <definedName name="current_date">DATE(2022,3,15)</definedName>
    <definedName name="expenses_header_row">ROW(Expenses[[#Headers],[Expenses]])</definedName>
    <definedName name="expenses_max_row">MAX(ROW(Expenses[]))</definedName>
    <definedName name="expenses_min_row">MIN(ROW(Expenses[]))</definedName>
    <definedName name="expenses_total_row">ROW('Budget Planning'!$C$46)</definedName>
    <definedName name="header_row_id" localSheetId="3">'Budget Dashboard'!$D1</definedName>
    <definedName name="income_header_row">ROW(Income[[#Headers],[Income]])</definedName>
    <definedName name="income_max_row">MAX(ROW(Income[]))</definedName>
    <definedName name="income_min_row">MIN(ROW(Income[]))</definedName>
    <definedName name="income_total_row">ROW('Budget Planning'!$C$27)</definedName>
    <definedName name="is_cat" localSheetId="3">'Budget Dashboard'!$F1</definedName>
    <definedName name="is_empty" localSheetId="3">'Budget Dashboard'!$H1</definedName>
    <definedName name="is_header" localSheetId="3">'Budget Dashboard'!$E1</definedName>
    <definedName name="is_total" localSheetId="3">'Budget Dashboard'!$G1</definedName>
    <definedName name="item" localSheetId="3">'Budget Dashboard'!$J1</definedName>
    <definedName name="out_budget" localSheetId="3">'Budget Dashboard'!$AA1</definedName>
    <definedName name="out_percentage_completed" localSheetId="3">'Budget Dashboard'!$AB1</definedName>
    <definedName name="out_tracked" localSheetId="3">'Budget Dashboard'!$Z1</definedName>
    <definedName name="row_id" localSheetId="3">'Budget Dashboard'!$C1</definedName>
    <definedName name="savings_header_row">ROW(Savings[[#Headers],[Savings]])</definedName>
    <definedName name="savings_max_row">MAX(ROW(Savings[]))</definedName>
    <definedName name="savings_min_row">MIN(ROW(Savings[]))</definedName>
    <definedName name="savings_top_row">ROW(Savings[[#Headers],[Savings]])</definedName>
    <definedName name="savings_total_row">ROW('Budget Planning'!$C$65)</definedName>
    <definedName name="selected_period">Calculations!$E$20</definedName>
    <definedName name="selected_period_display">Calculations!$E$21</definedName>
    <definedName name="selected_year">Calculations!$E$19</definedName>
    <definedName name="Shift_late_income_starting_date">Settings!$E$18</definedName>
    <definedName name="Shift_late_income_status">Settings!$E$16</definedName>
    <definedName name="sort_max_row" localSheetId="3">'Budget Dashboard'!$N1</definedName>
    <definedName name="sort_min_row" localSheetId="3">'Budget Dashboard'!$M1</definedName>
    <definedName name="Starting_Year">Settings!$E$8</definedName>
    <definedName name="tracked" localSheetId="3">'Budget Dashboard'!$K1</definedName>
    <definedName name="tracked_range" localSheetId="3">'Budget Dashboard'!$O1</definedName>
    <definedName name="tracked_rank" localSheetId="3">'Budget Dashboard'!$P1</definedName>
    <definedName name="type" localSheetId="3">'Budget Dashboard'!$I1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5" l="1" a="1"/>
  <c r="F38" i="5" s="1"/>
  <c r="E38" i="5" s="1" a="1"/>
  <c r="E38" i="5" s="1"/>
  <c r="AI19" i="4" s="1"/>
  <c r="F39" i="5" a="1"/>
  <c r="F39" i="5" s="1"/>
  <c r="E39" i="5" s="1" a="1"/>
  <c r="E39" i="5" s="1"/>
  <c r="AI20" i="4" s="1"/>
  <c r="AP35" i="4"/>
  <c r="AI35" i="4"/>
  <c r="AI22" i="4"/>
  <c r="AD18" i="4"/>
  <c r="AD19" i="4"/>
  <c r="AD33" i="4"/>
  <c r="AD34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13" i="4"/>
  <c r="AC18" i="4"/>
  <c r="AC19" i="4"/>
  <c r="AC33" i="4"/>
  <c r="AC34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13" i="4"/>
  <c r="AB18" i="4"/>
  <c r="AB19" i="4"/>
  <c r="AB33" i="4"/>
  <c r="AB34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13" i="4"/>
  <c r="AA18" i="4"/>
  <c r="AA19" i="4"/>
  <c r="AA33" i="4"/>
  <c r="AA34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13" i="4"/>
  <c r="Z18" i="4"/>
  <c r="Z19" i="4"/>
  <c r="Z33" i="4"/>
  <c r="Z34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13" i="4"/>
  <c r="Y18" i="4"/>
  <c r="Y33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13" i="4"/>
  <c r="X17" i="4"/>
  <c r="X18" i="4"/>
  <c r="X19" i="4"/>
  <c r="X32" i="4"/>
  <c r="X33" i="4"/>
  <c r="X34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13" i="4"/>
  <c r="W17" i="4"/>
  <c r="W18" i="4"/>
  <c r="W19" i="4"/>
  <c r="W32" i="4"/>
  <c r="W33" i="4"/>
  <c r="W34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13" i="4"/>
  <c r="U17" i="4"/>
  <c r="U18" i="4"/>
  <c r="U19" i="4"/>
  <c r="U32" i="4"/>
  <c r="U33" i="4"/>
  <c r="U34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13" i="4"/>
  <c r="S17" i="4"/>
  <c r="S18" i="4"/>
  <c r="S19" i="4"/>
  <c r="S32" i="4"/>
  <c r="S33" i="4"/>
  <c r="S34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13" i="4"/>
  <c r="R17" i="4"/>
  <c r="R18" i="4"/>
  <c r="R19" i="4"/>
  <c r="R32" i="4"/>
  <c r="R33" i="4"/>
  <c r="R34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13" i="4"/>
  <c r="P17" i="4"/>
  <c r="P18" i="4"/>
  <c r="P19" i="4"/>
  <c r="P32" i="4"/>
  <c r="P33" i="4"/>
  <c r="P34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13" i="4"/>
  <c r="N14" i="4" a="1"/>
  <c r="N14" i="4" s="1"/>
  <c r="N15" i="4" a="1"/>
  <c r="N15" i="4"/>
  <c r="N16" i="4" a="1"/>
  <c r="N16" i="4"/>
  <c r="N17" i="4" a="1"/>
  <c r="N17" i="4"/>
  <c r="N18" i="4" a="1"/>
  <c r="N18" i="4"/>
  <c r="N19" i="4" a="1"/>
  <c r="N19" i="4"/>
  <c r="N20" i="4" a="1"/>
  <c r="N20" i="4"/>
  <c r="N21" i="4" a="1"/>
  <c r="N21" i="4" s="1"/>
  <c r="N22" i="4" a="1"/>
  <c r="N22" i="4" s="1"/>
  <c r="N23" i="4" a="1"/>
  <c r="N23" i="4" s="1"/>
  <c r="N24" i="4" a="1"/>
  <c r="N24" i="4" s="1"/>
  <c r="N25" i="4" a="1"/>
  <c r="N25" i="4" s="1"/>
  <c r="N26" i="4" a="1"/>
  <c r="N26" i="4" s="1"/>
  <c r="N27" i="4" a="1"/>
  <c r="N27" i="4" s="1"/>
  <c r="N28" i="4" a="1"/>
  <c r="N28" i="4" s="1"/>
  <c r="N29" i="4" a="1"/>
  <c r="N29" i="4" s="1"/>
  <c r="N30" i="4" a="1"/>
  <c r="N30" i="4" s="1"/>
  <c r="N31" i="4" a="1"/>
  <c r="N31" i="4" s="1"/>
  <c r="N32" i="4" a="1"/>
  <c r="N32" i="4"/>
  <c r="N33" i="4" a="1"/>
  <c r="N33" i="4" s="1"/>
  <c r="N34" i="4" a="1"/>
  <c r="N34" i="4" s="1"/>
  <c r="N35" i="4" a="1"/>
  <c r="N35" i="4" s="1"/>
  <c r="N36" i="4" a="1"/>
  <c r="N36" i="4" s="1"/>
  <c r="N37" i="4" a="1"/>
  <c r="N37" i="4" s="1"/>
  <c r="N38" i="4" a="1"/>
  <c r="N38" i="4"/>
  <c r="N39" i="4" a="1"/>
  <c r="N39" i="4" s="1"/>
  <c r="N40" i="4" a="1"/>
  <c r="N40" i="4" s="1"/>
  <c r="N41" i="4" a="1"/>
  <c r="N41" i="4" s="1"/>
  <c r="N42" i="4" a="1"/>
  <c r="N42" i="4" s="1"/>
  <c r="N43" i="4" a="1"/>
  <c r="N43" i="4" s="1"/>
  <c r="N44" i="4" a="1"/>
  <c r="N44" i="4"/>
  <c r="N45" i="4" a="1"/>
  <c r="N45" i="4" s="1"/>
  <c r="N46" i="4" a="1"/>
  <c r="N46" i="4"/>
  <c r="N47" i="4" a="1"/>
  <c r="N47" i="4" s="1"/>
  <c r="N48" i="4" a="1"/>
  <c r="N48" i="4"/>
  <c r="N49" i="4" a="1"/>
  <c r="N49" i="4" s="1"/>
  <c r="N50" i="4" a="1"/>
  <c r="N50" i="4"/>
  <c r="N51" i="4" a="1"/>
  <c r="N51" i="4" s="1"/>
  <c r="N52" i="4" a="1"/>
  <c r="N52" i="4" s="1"/>
  <c r="N53" i="4" a="1"/>
  <c r="N53" i="4" s="1"/>
  <c r="N54" i="4" a="1"/>
  <c r="N54" i="4" s="1"/>
  <c r="N55" i="4" a="1"/>
  <c r="N55" i="4" s="1"/>
  <c r="N56" i="4" a="1"/>
  <c r="N56" i="4" s="1"/>
  <c r="N57" i="4" a="1"/>
  <c r="N57" i="4" s="1"/>
  <c r="N58" i="4" a="1"/>
  <c r="N58" i="4"/>
  <c r="N59" i="4" a="1"/>
  <c r="N59" i="4" s="1"/>
  <c r="N60" i="4" a="1"/>
  <c r="N60" i="4" s="1"/>
  <c r="N61" i="4" a="1"/>
  <c r="N61" i="4" s="1"/>
  <c r="N62" i="4" a="1"/>
  <c r="N62" i="4" s="1"/>
  <c r="N63" i="4" a="1"/>
  <c r="N63" i="4" s="1"/>
  <c r="N64" i="4" a="1"/>
  <c r="N64" i="4" s="1"/>
  <c r="N65" i="4" a="1"/>
  <c r="N65" i="4" s="1"/>
  <c r="N66" i="4" a="1"/>
  <c r="N66" i="4" s="1"/>
  <c r="N67" i="4" a="1"/>
  <c r="N67" i="4" s="1"/>
  <c r="N68" i="4" a="1"/>
  <c r="N68" i="4" s="1"/>
  <c r="N69" i="4" a="1"/>
  <c r="N69" i="4" s="1"/>
  <c r="N13" i="4" a="1"/>
  <c r="N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/>
  <c r="M23" i="4" a="1"/>
  <c r="M23" i="4" s="1"/>
  <c r="M24" i="4" a="1"/>
  <c r="M24" i="4"/>
  <c r="M25" i="4" a="1"/>
  <c r="M25" i="4" s="1"/>
  <c r="M26" i="4" a="1"/>
  <c r="M26" i="4" s="1"/>
  <c r="M27" i="4" a="1"/>
  <c r="M27" i="4" s="1"/>
  <c r="M28" i="4" a="1"/>
  <c r="M28" i="4" s="1"/>
  <c r="M29" i="4" a="1"/>
  <c r="M29" i="4"/>
  <c r="M30" i="4" a="1"/>
  <c r="M30" i="4" s="1"/>
  <c r="M31" i="4" a="1"/>
  <c r="M31" i="4" s="1"/>
  <c r="M32" i="4" a="1"/>
  <c r="M32" i="4" s="1"/>
  <c r="M33" i="4" a="1"/>
  <c r="M33" i="4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M41" i="4" a="1"/>
  <c r="M41" i="4" s="1"/>
  <c r="M42" i="4" a="1"/>
  <c r="M42" i="4" s="1"/>
  <c r="M43" i="4" a="1"/>
  <c r="M43" i="4" s="1"/>
  <c r="M44" i="4" a="1"/>
  <c r="M44" i="4" s="1"/>
  <c r="M45" i="4" a="1"/>
  <c r="M45" i="4" s="1"/>
  <c r="M46" i="4" a="1"/>
  <c r="M46" i="4" s="1"/>
  <c r="M47" i="4" a="1"/>
  <c r="M47" i="4" s="1"/>
  <c r="M48" i="4" a="1"/>
  <c r="M48" i="4" s="1"/>
  <c r="M49" i="4" a="1"/>
  <c r="M49" i="4" s="1"/>
  <c r="M50" i="4" a="1"/>
  <c r="M50" i="4" s="1"/>
  <c r="M51" i="4" a="1"/>
  <c r="M51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57" i="4" a="1"/>
  <c r="M57" i="4" s="1"/>
  <c r="M58" i="4" a="1"/>
  <c r="M58" i="4" s="1"/>
  <c r="M59" i="4" a="1"/>
  <c r="M59" i="4" s="1"/>
  <c r="M60" i="4" a="1"/>
  <c r="M60" i="4" s="1"/>
  <c r="M61" i="4" a="1"/>
  <c r="M61" i="4" s="1"/>
  <c r="M62" i="4" a="1"/>
  <c r="M62" i="4" s="1"/>
  <c r="M63" i="4" a="1"/>
  <c r="M63" i="4" s="1"/>
  <c r="M64" i="4" a="1"/>
  <c r="M64" i="4" s="1"/>
  <c r="M65" i="4" a="1"/>
  <c r="M65" i="4" s="1"/>
  <c r="M66" i="4" a="1"/>
  <c r="M66" i="4" s="1"/>
  <c r="M67" i="4" a="1"/>
  <c r="M67" i="4" s="1"/>
  <c r="M68" i="4" a="1"/>
  <c r="M68" i="4" s="1"/>
  <c r="M69" i="4" a="1"/>
  <c r="M69" i="4" s="1"/>
  <c r="M13" i="4" a="1"/>
  <c r="M13" i="4"/>
  <c r="L18" i="4" a="1"/>
  <c r="L18" i="4" s="1"/>
  <c r="L19" i="4" a="1"/>
  <c r="L19" i="4" s="1"/>
  <c r="L33" i="4" a="1"/>
  <c r="L33" i="4" s="1"/>
  <c r="L34" i="4" a="1"/>
  <c r="L34" i="4" s="1"/>
  <c r="L42" i="4" a="1"/>
  <c r="L42" i="4" s="1"/>
  <c r="L43" i="4" a="1"/>
  <c r="L43" i="4" s="1"/>
  <c r="L44" i="4" a="1"/>
  <c r="L44" i="4" s="1"/>
  <c r="L45" i="4" a="1"/>
  <c r="L45" i="4" s="1"/>
  <c r="L46" i="4" a="1"/>
  <c r="L46" i="4" s="1"/>
  <c r="L47" i="4" a="1"/>
  <c r="L47" i="4" s="1"/>
  <c r="L48" i="4" a="1"/>
  <c r="L48" i="4" s="1"/>
  <c r="L49" i="4" a="1"/>
  <c r="L49" i="4" s="1"/>
  <c r="L50" i="4" a="1"/>
  <c r="L50" i="4" s="1"/>
  <c r="L51" i="4" a="1"/>
  <c r="L51" i="4" s="1"/>
  <c r="L52" i="4" a="1"/>
  <c r="L52" i="4" s="1"/>
  <c r="L53" i="4" a="1"/>
  <c r="L53" i="4" s="1"/>
  <c r="L54" i="4" a="1"/>
  <c r="L54" i="4" s="1"/>
  <c r="L55" i="4" a="1"/>
  <c r="L55" i="4" s="1"/>
  <c r="L56" i="4" a="1"/>
  <c r="L56" i="4" s="1"/>
  <c r="L57" i="4" a="1"/>
  <c r="L57" i="4" s="1"/>
  <c r="L58" i="4" a="1"/>
  <c r="L58" i="4" s="1"/>
  <c r="L59" i="4" a="1"/>
  <c r="L59" i="4" s="1"/>
  <c r="L60" i="4" a="1"/>
  <c r="L60" i="4" s="1"/>
  <c r="L61" i="4" a="1"/>
  <c r="L61" i="4" s="1"/>
  <c r="L62" i="4" a="1"/>
  <c r="L62" i="4" s="1"/>
  <c r="L63" i="4" a="1"/>
  <c r="L63" i="4" s="1"/>
  <c r="L64" i="4" a="1"/>
  <c r="L64" i="4" s="1"/>
  <c r="L65" i="4" a="1"/>
  <c r="L65" i="4" s="1"/>
  <c r="L66" i="4" a="1"/>
  <c r="L66" i="4" s="1"/>
  <c r="L67" i="4" a="1"/>
  <c r="L67" i="4" s="1"/>
  <c r="L68" i="4" a="1"/>
  <c r="L68" i="4" s="1"/>
  <c r="L69" i="4" a="1"/>
  <c r="L69" i="4" s="1"/>
  <c r="L13" i="4" a="1"/>
  <c r="L13" i="4" s="1"/>
  <c r="H19" i="3" a="1"/>
  <c r="H19" i="3" s="1"/>
  <c r="I19" i="3"/>
  <c r="H18" i="3" a="1"/>
  <c r="H18" i="3" s="1"/>
  <c r="I18" i="3"/>
  <c r="H17" i="3" a="1"/>
  <c r="H17" i="3" s="1"/>
  <c r="I17" i="3"/>
  <c r="H16" i="3" a="1"/>
  <c r="H16" i="3" s="1"/>
  <c r="I16" i="3"/>
  <c r="H15" i="3" a="1"/>
  <c r="H15" i="3" s="1"/>
  <c r="I15" i="3"/>
  <c r="I14" i="4" a="1"/>
  <c r="I14" i="4"/>
  <c r="I15" i="4" a="1"/>
  <c r="I15" i="4"/>
  <c r="I16" i="4" a="1"/>
  <c r="I16" i="4"/>
  <c r="I17" i="4" a="1"/>
  <c r="I17" i="4"/>
  <c r="I18" i="4" a="1"/>
  <c r="I18" i="4"/>
  <c r="I19" i="4" a="1"/>
  <c r="I19" i="4"/>
  <c r="I20" i="4" a="1"/>
  <c r="I20" i="4"/>
  <c r="I21" i="4" a="1"/>
  <c r="I21" i="4" s="1"/>
  <c r="I22" i="4" a="1"/>
  <c r="I22" i="4" s="1"/>
  <c r="I23" i="4" a="1"/>
  <c r="I23" i="4" s="1"/>
  <c r="I24" i="4" a="1"/>
  <c r="I24" i="4" s="1"/>
  <c r="I25" i="4" a="1"/>
  <c r="I25" i="4" s="1"/>
  <c r="I26" i="4" a="1"/>
  <c r="I26" i="4" s="1"/>
  <c r="I27" i="4" a="1"/>
  <c r="I27" i="4" s="1"/>
  <c r="I28" i="4" a="1"/>
  <c r="I28" i="4" s="1"/>
  <c r="I29" i="4" a="1"/>
  <c r="I29" i="4" s="1"/>
  <c r="I30" i="4" a="1"/>
  <c r="I30" i="4" s="1"/>
  <c r="I31" i="4" a="1"/>
  <c r="I31" i="4" s="1"/>
  <c r="I32" i="4" a="1"/>
  <c r="I32" i="4" s="1"/>
  <c r="I33" i="4" a="1"/>
  <c r="I33" i="4" s="1"/>
  <c r="I34" i="4" a="1"/>
  <c r="I34" i="4" s="1"/>
  <c r="I35" i="4" a="1"/>
  <c r="I35" i="4" s="1"/>
  <c r="I36" i="4" a="1"/>
  <c r="I36" i="4" s="1"/>
  <c r="I37" i="4" a="1"/>
  <c r="I37" i="4" s="1"/>
  <c r="I38" i="4" a="1"/>
  <c r="I38" i="4" s="1"/>
  <c r="I39" i="4" a="1"/>
  <c r="I39" i="4" s="1"/>
  <c r="I40" i="4" a="1"/>
  <c r="I40" i="4" s="1"/>
  <c r="I41" i="4" a="1"/>
  <c r="I41" i="4"/>
  <c r="I42" i="4" a="1"/>
  <c r="I42" i="4" s="1"/>
  <c r="I43" i="4" a="1"/>
  <c r="I43" i="4" s="1"/>
  <c r="I44" i="4" a="1"/>
  <c r="I44" i="4" s="1"/>
  <c r="I45" i="4" a="1"/>
  <c r="I45" i="4" s="1"/>
  <c r="I46" i="4" a="1"/>
  <c r="I46" i="4" s="1"/>
  <c r="I47" i="4" a="1"/>
  <c r="I47" i="4" s="1"/>
  <c r="I48" i="4" a="1"/>
  <c r="I48" i="4"/>
  <c r="I49" i="4" a="1"/>
  <c r="I49" i="4" s="1"/>
  <c r="I50" i="4" a="1"/>
  <c r="I50" i="4" s="1"/>
  <c r="I51" i="4" a="1"/>
  <c r="I51" i="4" s="1"/>
  <c r="I52" i="4" a="1"/>
  <c r="I52" i="4" s="1"/>
  <c r="I53" i="4" a="1"/>
  <c r="I53" i="4" s="1"/>
  <c r="I54" i="4" a="1"/>
  <c r="I54" i="4" s="1"/>
  <c r="I55" i="4" a="1"/>
  <c r="I55" i="4" s="1"/>
  <c r="I56" i="4" a="1"/>
  <c r="I56" i="4" s="1"/>
  <c r="I57" i="4" a="1"/>
  <c r="I57" i="4" s="1"/>
  <c r="I58" i="4" a="1"/>
  <c r="I58" i="4" s="1"/>
  <c r="I59" i="4" a="1"/>
  <c r="I59" i="4" s="1"/>
  <c r="I60" i="4" a="1"/>
  <c r="I60" i="4" s="1"/>
  <c r="I61" i="4" a="1"/>
  <c r="I61" i="4" s="1"/>
  <c r="I62" i="4" a="1"/>
  <c r="I62" i="4" s="1"/>
  <c r="I63" i="4" a="1"/>
  <c r="I63" i="4" s="1"/>
  <c r="I64" i="4" a="1"/>
  <c r="I64" i="4" s="1"/>
  <c r="I65" i="4" a="1"/>
  <c r="I65" i="4" s="1"/>
  <c r="I66" i="4" a="1"/>
  <c r="I66" i="4" s="1"/>
  <c r="I67" i="4" a="1"/>
  <c r="I67" i="4" s="1"/>
  <c r="I68" i="4" a="1"/>
  <c r="I68" i="4" s="1"/>
  <c r="I69" i="4" a="1"/>
  <c r="I69" i="4" s="1"/>
  <c r="I13" i="4" a="1"/>
  <c r="I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13" i="4"/>
  <c r="G14" i="4" a="1"/>
  <c r="G14" i="4"/>
  <c r="G15" i="4" a="1"/>
  <c r="G15" i="4"/>
  <c r="G16" i="4" a="1"/>
  <c r="G16" i="4"/>
  <c r="G17" i="4" a="1"/>
  <c r="G17" i="4" s="1"/>
  <c r="G18" i="4" a="1"/>
  <c r="G18" i="4" s="1"/>
  <c r="G19" i="4" a="1"/>
  <c r="G19" i="4"/>
  <c r="G20" i="4" a="1"/>
  <c r="G20" i="4"/>
  <c r="G21" i="4" a="1"/>
  <c r="G21" i="4"/>
  <c r="G22" i="4" a="1"/>
  <c r="G22" i="4"/>
  <c r="G23" i="4" a="1"/>
  <c r="G23" i="4" s="1"/>
  <c r="G24" i="4" a="1"/>
  <c r="G24" i="4" s="1"/>
  <c r="G25" i="4" a="1"/>
  <c r="G25" i="4" s="1"/>
  <c r="G26" i="4" a="1"/>
  <c r="G26" i="4" s="1"/>
  <c r="G27" i="4" a="1"/>
  <c r="G27" i="4" s="1"/>
  <c r="G28" i="4" a="1"/>
  <c r="G28" i="4" s="1"/>
  <c r="G29" i="4" a="1"/>
  <c r="G29" i="4" s="1"/>
  <c r="G30" i="4" a="1"/>
  <c r="G30" i="4" s="1"/>
  <c r="G31" i="4" a="1"/>
  <c r="G31" i="4" s="1"/>
  <c r="G32" i="4" a="1"/>
  <c r="G32" i="4" s="1"/>
  <c r="G33" i="4" a="1"/>
  <c r="G33" i="4" s="1"/>
  <c r="G34" i="4" a="1"/>
  <c r="G34" i="4" s="1"/>
  <c r="G35" i="4" a="1"/>
  <c r="G35" i="4" s="1"/>
  <c r="G36" i="4" a="1"/>
  <c r="G36" i="4" s="1"/>
  <c r="G37" i="4" a="1"/>
  <c r="G37" i="4" s="1"/>
  <c r="G38" i="4" a="1"/>
  <c r="G38" i="4" s="1"/>
  <c r="G39" i="4" a="1"/>
  <c r="G39" i="4" s="1"/>
  <c r="G40" i="4" a="1"/>
  <c r="G40" i="4" s="1"/>
  <c r="G41" i="4" a="1"/>
  <c r="G41" i="4" s="1"/>
  <c r="G42" i="4" a="1"/>
  <c r="G42" i="4" s="1"/>
  <c r="G43" i="4" a="1"/>
  <c r="G43" i="4" s="1"/>
  <c r="G44" i="4" a="1"/>
  <c r="G44" i="4" s="1"/>
  <c r="G45" i="4" a="1"/>
  <c r="G45" i="4"/>
  <c r="G46" i="4" a="1"/>
  <c r="G46" i="4" s="1"/>
  <c r="G47" i="4" a="1"/>
  <c r="G47" i="4" s="1"/>
  <c r="G48" i="4" a="1"/>
  <c r="G48" i="4" s="1"/>
  <c r="G49" i="4" a="1"/>
  <c r="G49" i="4" s="1"/>
  <c r="G50" i="4" a="1"/>
  <c r="G50" i="4" s="1"/>
  <c r="G51" i="4" a="1"/>
  <c r="G51" i="4" s="1"/>
  <c r="G52" i="4" a="1"/>
  <c r="G52" i="4" s="1"/>
  <c r="G53" i="4" a="1"/>
  <c r="G53" i="4" s="1"/>
  <c r="G54" i="4" a="1"/>
  <c r="G54" i="4" s="1"/>
  <c r="G55" i="4" a="1"/>
  <c r="G55" i="4" s="1"/>
  <c r="G56" i="4" a="1"/>
  <c r="G56" i="4" s="1"/>
  <c r="G57" i="4" a="1"/>
  <c r="G57" i="4" s="1"/>
  <c r="G58" i="4" a="1"/>
  <c r="G58" i="4" s="1"/>
  <c r="G59" i="4" a="1"/>
  <c r="G59" i="4" s="1"/>
  <c r="G60" i="4" a="1"/>
  <c r="G60" i="4" s="1"/>
  <c r="G61" i="4" a="1"/>
  <c r="G61" i="4" s="1"/>
  <c r="G62" i="4" a="1"/>
  <c r="G62" i="4" s="1"/>
  <c r="G63" i="4" a="1"/>
  <c r="G63" i="4" s="1"/>
  <c r="G64" i="4" a="1"/>
  <c r="G64" i="4" s="1"/>
  <c r="G65" i="4" a="1"/>
  <c r="G65" i="4" s="1"/>
  <c r="G66" i="4" a="1"/>
  <c r="G66" i="4" s="1"/>
  <c r="G67" i="4" a="1"/>
  <c r="G67" i="4" s="1"/>
  <c r="G68" i="4" a="1"/>
  <c r="G68" i="4" s="1"/>
  <c r="G69" i="4" a="1"/>
  <c r="G69" i="4" s="1"/>
  <c r="G13" i="4" a="1"/>
  <c r="G13" i="4"/>
  <c r="E14" i="4" a="1"/>
  <c r="E14" i="4" s="1"/>
  <c r="E15" i="4" a="1"/>
  <c r="E15" i="4" s="1"/>
  <c r="E16" i="4" a="1"/>
  <c r="E16" i="4" s="1"/>
  <c r="E17" i="4" a="1"/>
  <c r="E17" i="4" s="1"/>
  <c r="E18" i="4" a="1"/>
  <c r="E18" i="4" s="1"/>
  <c r="E19" i="4" a="1"/>
  <c r="E19" i="4" s="1"/>
  <c r="E20" i="4" a="1"/>
  <c r="E20" i="4" s="1"/>
  <c r="E21" i="4" a="1"/>
  <c r="E21" i="4" s="1"/>
  <c r="E22" i="4" a="1"/>
  <c r="E22" i="4" s="1"/>
  <c r="E23" i="4" a="1"/>
  <c r="E23" i="4" s="1"/>
  <c r="E24" i="4" a="1"/>
  <c r="E24" i="4" s="1"/>
  <c r="E25" i="4" a="1"/>
  <c r="E25" i="4" s="1"/>
  <c r="E26" i="4" a="1"/>
  <c r="E26" i="4" s="1"/>
  <c r="E27" i="4" a="1"/>
  <c r="E27" i="4" s="1"/>
  <c r="E28" i="4" a="1"/>
  <c r="E28" i="4" s="1"/>
  <c r="E29" i="4" a="1"/>
  <c r="E29" i="4" s="1"/>
  <c r="E30" i="4" a="1"/>
  <c r="E30" i="4" s="1"/>
  <c r="E31" i="4" a="1"/>
  <c r="E31" i="4" s="1"/>
  <c r="E32" i="4" a="1"/>
  <c r="E32" i="4" s="1"/>
  <c r="E33" i="4" a="1"/>
  <c r="E33" i="4" s="1"/>
  <c r="E34" i="4" a="1"/>
  <c r="E34" i="4" s="1"/>
  <c r="E35" i="4" a="1"/>
  <c r="E35" i="4" s="1"/>
  <c r="E36" i="4" a="1"/>
  <c r="E36" i="4" s="1"/>
  <c r="E37" i="4" a="1"/>
  <c r="E37" i="4" s="1"/>
  <c r="E38" i="4" a="1"/>
  <c r="E38" i="4" s="1"/>
  <c r="E39" i="4" a="1"/>
  <c r="E39" i="4" s="1"/>
  <c r="E40" i="4" a="1"/>
  <c r="E40" i="4" s="1"/>
  <c r="E41" i="4" a="1"/>
  <c r="E41" i="4" s="1"/>
  <c r="E42" i="4" a="1"/>
  <c r="E42" i="4" s="1"/>
  <c r="E43" i="4" a="1"/>
  <c r="E43" i="4" s="1"/>
  <c r="E44" i="4" a="1"/>
  <c r="E44" i="4" s="1"/>
  <c r="E45" i="4" a="1"/>
  <c r="E45" i="4" s="1"/>
  <c r="E46" i="4" a="1"/>
  <c r="E46" i="4" s="1"/>
  <c r="E47" i="4" a="1"/>
  <c r="E47" i="4" s="1"/>
  <c r="E48" i="4" a="1"/>
  <c r="E48" i="4" s="1"/>
  <c r="E49" i="4" a="1"/>
  <c r="E49" i="4" s="1"/>
  <c r="E50" i="4" a="1"/>
  <c r="E50" i="4" s="1"/>
  <c r="E51" i="4" a="1"/>
  <c r="E51" i="4" s="1"/>
  <c r="E52" i="4" a="1"/>
  <c r="E52" i="4" s="1"/>
  <c r="E53" i="4" a="1"/>
  <c r="E53" i="4" s="1"/>
  <c r="E54" i="4" a="1"/>
  <c r="E54" i="4" s="1"/>
  <c r="E55" i="4" a="1"/>
  <c r="E55" i="4" s="1"/>
  <c r="E56" i="4" a="1"/>
  <c r="E56" i="4" s="1"/>
  <c r="E57" i="4" a="1"/>
  <c r="E57" i="4" s="1"/>
  <c r="E58" i="4" a="1"/>
  <c r="E58" i="4" s="1"/>
  <c r="E59" i="4" a="1"/>
  <c r="E59" i="4" s="1"/>
  <c r="E60" i="4" a="1"/>
  <c r="E60" i="4" s="1"/>
  <c r="E61" i="4" a="1"/>
  <c r="E61" i="4" s="1"/>
  <c r="E62" i="4" a="1"/>
  <c r="E62" i="4" s="1"/>
  <c r="E63" i="4" a="1"/>
  <c r="E63" i="4" s="1"/>
  <c r="E64" i="4" a="1"/>
  <c r="E64" i="4" s="1"/>
  <c r="E65" i="4" a="1"/>
  <c r="E65" i="4" s="1"/>
  <c r="E66" i="4" a="1"/>
  <c r="E66" i="4" s="1"/>
  <c r="E67" i="4" a="1"/>
  <c r="E67" i="4" s="1"/>
  <c r="E68" i="4" a="1"/>
  <c r="E68" i="4" s="1"/>
  <c r="E69" i="4" a="1"/>
  <c r="E69" i="4" s="1"/>
  <c r="E13" i="4" a="1"/>
  <c r="E13" i="4" s="1"/>
  <c r="C13" i="4" a="1"/>
  <c r="C13" i="4"/>
  <c r="E20" i="5" a="1"/>
  <c r="E20" i="5" s="1"/>
  <c r="E19" i="5" a="1"/>
  <c r="E19" i="5"/>
  <c r="E9" i="5"/>
  <c r="C9" i="6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E12" i="5" a="1"/>
  <c r="E12" i="5" s="1"/>
  <c r="E8" i="5" a="1"/>
  <c r="E8" i="5" s="1"/>
  <c r="E11" i="5"/>
  <c r="I13" i="3"/>
  <c r="I14" i="3"/>
  <c r="I12" i="3"/>
  <c r="H13" i="3" a="1"/>
  <c r="H13" i="3" s="1"/>
  <c r="H14" i="3" a="1"/>
  <c r="H14" i="3" s="1"/>
  <c r="H12" i="3" a="1"/>
  <c r="H12" i="3" s="1"/>
  <c r="FA11" i="2" a="1"/>
  <c r="FA11" i="2" s="1"/>
  <c r="FA27" i="2" s="1" a="1"/>
  <c r="FA27" i="2" s="1"/>
  <c r="FA12" i="2" a="1"/>
  <c r="FA12" i="2" s="1"/>
  <c r="FA13" i="2" a="1"/>
  <c r="FA13" i="2"/>
  <c r="FA14" i="2" a="1"/>
  <c r="FA14" i="2"/>
  <c r="FA15" i="2" a="1"/>
  <c r="FA15" i="2" s="1"/>
  <c r="FA16" i="2" a="1"/>
  <c r="FA16" i="2" s="1"/>
  <c r="FA17" i="2" a="1"/>
  <c r="FA17" i="2" s="1"/>
  <c r="FA18" i="2" a="1"/>
  <c r="FA18" i="2" s="1"/>
  <c r="FA19" i="2" a="1"/>
  <c r="FA19" i="2" s="1"/>
  <c r="FA20" i="2" a="1"/>
  <c r="FA20" i="2" s="1"/>
  <c r="FA21" i="2" a="1"/>
  <c r="FA21" i="2"/>
  <c r="FA22" i="2" a="1"/>
  <c r="FA22" i="2" s="1"/>
  <c r="FA23" i="2" a="1"/>
  <c r="FA23" i="2"/>
  <c r="FA24" i="2" a="1"/>
  <c r="FA24" i="2" s="1"/>
  <c r="FA25" i="2" a="1"/>
  <c r="FA25" i="2"/>
  <c r="FA26" i="2" a="1"/>
  <c r="FA26" i="2" s="1"/>
  <c r="EO27" i="2" a="1"/>
  <c r="EO27" i="2" s="1"/>
  <c r="EP27" i="2" a="1"/>
  <c r="EP27" i="2" s="1"/>
  <c r="EQ27" i="2" a="1"/>
  <c r="EQ27" i="2" s="1"/>
  <c r="ER27" i="2" a="1"/>
  <c r="ER27" i="2" s="1"/>
  <c r="ES27" i="2" a="1"/>
  <c r="ES27" i="2" s="1"/>
  <c r="ET27" i="2" a="1"/>
  <c r="ET27" i="2" s="1"/>
  <c r="EU27" i="2" a="1"/>
  <c r="EU27" i="2" s="1"/>
  <c r="EV27" i="2" a="1"/>
  <c r="EV27" i="2" s="1"/>
  <c r="EW27" i="2" a="1"/>
  <c r="EW27" i="2" s="1"/>
  <c r="EX27" i="2" a="1"/>
  <c r="EX27" i="2" s="1"/>
  <c r="EY27" i="2" a="1"/>
  <c r="EY27" i="2" s="1"/>
  <c r="EZ27" i="2" a="1"/>
  <c r="EZ27" i="2" s="1"/>
  <c r="FA30" i="2" a="1"/>
  <c r="FA30" i="2" s="1"/>
  <c r="FA46" i="2" s="1" a="1"/>
  <c r="FA46" i="2" s="1"/>
  <c r="FA31" i="2" a="1"/>
  <c r="FA31" i="2" s="1"/>
  <c r="FA32" i="2" a="1"/>
  <c r="FA32" i="2" s="1"/>
  <c r="FA33" i="2" a="1"/>
  <c r="FA33" i="2" s="1"/>
  <c r="FA34" i="2" a="1"/>
  <c r="FA34" i="2" s="1"/>
  <c r="FA35" i="2" a="1"/>
  <c r="FA35" i="2" s="1"/>
  <c r="FA36" i="2" a="1"/>
  <c r="FA36" i="2" s="1"/>
  <c r="FA37" i="2" a="1"/>
  <c r="FA37" i="2" s="1"/>
  <c r="FA38" i="2" a="1"/>
  <c r="FA38" i="2" s="1"/>
  <c r="FA39" i="2" a="1"/>
  <c r="FA39" i="2" s="1"/>
  <c r="FA40" i="2" a="1"/>
  <c r="FA40" i="2" s="1"/>
  <c r="FA41" i="2" a="1"/>
  <c r="FA41" i="2" s="1"/>
  <c r="FA42" i="2" a="1"/>
  <c r="FA42" i="2" s="1"/>
  <c r="FA43" i="2" a="1"/>
  <c r="FA43" i="2" s="1"/>
  <c r="FA44" i="2" a="1"/>
  <c r="FA44" i="2" s="1"/>
  <c r="FA45" i="2" a="1"/>
  <c r="FA45" i="2" s="1"/>
  <c r="EO46" i="2" a="1"/>
  <c r="EO46" i="2" s="1"/>
  <c r="EP46" i="2" a="1"/>
  <c r="EP46" i="2" s="1"/>
  <c r="EQ46" i="2" a="1"/>
  <c r="EQ46" i="2" s="1"/>
  <c r="ER46" i="2" a="1"/>
  <c r="ER46" i="2" s="1"/>
  <c r="ES46" i="2" a="1"/>
  <c r="ES46" i="2" s="1"/>
  <c r="ET46" i="2" a="1"/>
  <c r="ET46" i="2" s="1"/>
  <c r="EU46" i="2" a="1"/>
  <c r="EU46" i="2" s="1"/>
  <c r="EV46" i="2" a="1"/>
  <c r="EV46" i="2" s="1"/>
  <c r="EW46" i="2" a="1"/>
  <c r="EW46" i="2" s="1"/>
  <c r="EX46" i="2" a="1"/>
  <c r="EX46" i="2" s="1"/>
  <c r="EY46" i="2" a="1"/>
  <c r="EY46" i="2" s="1"/>
  <c r="EZ46" i="2" a="1"/>
  <c r="EZ46" i="2" s="1"/>
  <c r="FA49" i="2" a="1"/>
  <c r="FA49" i="2" s="1"/>
  <c r="FA65" i="2" s="1" a="1"/>
  <c r="FA65" i="2" s="1"/>
  <c r="FA50" i="2" a="1"/>
  <c r="FA50" i="2" s="1"/>
  <c r="FA51" i="2" a="1"/>
  <c r="FA51" i="2" s="1"/>
  <c r="FA52" i="2" a="1"/>
  <c r="FA52" i="2" s="1"/>
  <c r="FA53" i="2" a="1"/>
  <c r="FA53" i="2" s="1"/>
  <c r="FA54" i="2" a="1"/>
  <c r="FA54" i="2" s="1"/>
  <c r="FA55" i="2" a="1"/>
  <c r="FA55" i="2" s="1"/>
  <c r="FA56" i="2" a="1"/>
  <c r="FA56" i="2" s="1"/>
  <c r="FA57" i="2" a="1"/>
  <c r="FA57" i="2" s="1"/>
  <c r="FA58" i="2" a="1"/>
  <c r="FA58" i="2" s="1"/>
  <c r="FA59" i="2" a="1"/>
  <c r="FA59" i="2" s="1"/>
  <c r="FA60" i="2" a="1"/>
  <c r="FA60" i="2" s="1"/>
  <c r="FA61" i="2" a="1"/>
  <c r="FA61" i="2" s="1"/>
  <c r="FA62" i="2" a="1"/>
  <c r="FA62" i="2" s="1"/>
  <c r="FA63" i="2" a="1"/>
  <c r="FA63" i="2" s="1"/>
  <c r="FA64" i="2" a="1"/>
  <c r="FA64" i="2" s="1"/>
  <c r="EO65" i="2" a="1"/>
  <c r="EO65" i="2" s="1"/>
  <c r="EP65" i="2" a="1"/>
  <c r="EP65" i="2" s="1"/>
  <c r="EQ65" i="2" a="1"/>
  <c r="EQ65" i="2" s="1"/>
  <c r="ER65" i="2" a="1"/>
  <c r="ER65" i="2" s="1"/>
  <c r="ES65" i="2" a="1"/>
  <c r="ES65" i="2" s="1"/>
  <c r="ET65" i="2" a="1"/>
  <c r="ET65" i="2" s="1"/>
  <c r="EU65" i="2" a="1"/>
  <c r="EU65" i="2" s="1"/>
  <c r="EV65" i="2" a="1"/>
  <c r="EV65" i="2" s="1"/>
  <c r="EW65" i="2" a="1"/>
  <c r="EW65" i="2" s="1"/>
  <c r="EX65" i="2" a="1"/>
  <c r="EX65" i="2" s="1"/>
  <c r="EY65" i="2" a="1"/>
  <c r="EY65" i="2" s="1"/>
  <c r="EZ65" i="2" a="1"/>
  <c r="EZ65" i="2" s="1"/>
  <c r="EM11" i="2" a="1"/>
  <c r="EM11" i="2" s="1"/>
  <c r="EM27" i="2" s="1" a="1"/>
  <c r="EM27" i="2" s="1"/>
  <c r="EM12" i="2" a="1"/>
  <c r="EM12" i="2" s="1"/>
  <c r="EM13" i="2" a="1"/>
  <c r="EM13" i="2" s="1"/>
  <c r="EM14" i="2" a="1"/>
  <c r="EM14" i="2"/>
  <c r="EM15" i="2" a="1"/>
  <c r="EM15" i="2" s="1"/>
  <c r="EM16" i="2" a="1"/>
  <c r="EM16" i="2" s="1"/>
  <c r="EM17" i="2" a="1"/>
  <c r="EM17" i="2" s="1"/>
  <c r="EM18" i="2" a="1"/>
  <c r="EM18" i="2" s="1"/>
  <c r="EM19" i="2" a="1"/>
  <c r="EM19" i="2" s="1"/>
  <c r="EM20" i="2" a="1"/>
  <c r="EM20" i="2"/>
  <c r="EM21" i="2" a="1"/>
  <c r="EM21" i="2" s="1"/>
  <c r="EM22" i="2" a="1"/>
  <c r="EM22" i="2" s="1"/>
  <c r="EM23" i="2" a="1"/>
  <c r="EM23" i="2" s="1"/>
  <c r="EM24" i="2" a="1"/>
  <c r="EM24" i="2" s="1"/>
  <c r="EM25" i="2" a="1"/>
  <c r="EM25" i="2" s="1"/>
  <c r="EM26" i="2" a="1"/>
  <c r="EM26" i="2" s="1"/>
  <c r="EA27" i="2" a="1"/>
  <c r="EA27" i="2" s="1"/>
  <c r="EB27" i="2" a="1"/>
  <c r="EB27" i="2" s="1"/>
  <c r="EC27" i="2" a="1"/>
  <c r="EC27" i="2" s="1"/>
  <c r="ED27" i="2" a="1"/>
  <c r="ED27" i="2" s="1"/>
  <c r="EE27" i="2" a="1"/>
  <c r="EE27" i="2" s="1"/>
  <c r="EF27" i="2" a="1"/>
  <c r="EF27" i="2" s="1"/>
  <c r="EG27" i="2" a="1"/>
  <c r="EG27" i="2" s="1"/>
  <c r="EH27" i="2" a="1"/>
  <c r="EH27" i="2" s="1"/>
  <c r="EI27" i="2" a="1"/>
  <c r="EI27" i="2" s="1"/>
  <c r="EJ27" i="2" a="1"/>
  <c r="EJ27" i="2" s="1"/>
  <c r="EK27" i="2" a="1"/>
  <c r="EK27" i="2" s="1"/>
  <c r="EL27" i="2" a="1"/>
  <c r="EL27" i="2" s="1"/>
  <c r="EM30" i="2" a="1"/>
  <c r="EM30" i="2" s="1"/>
  <c r="EM31" i="2" a="1"/>
  <c r="EM31" i="2" s="1"/>
  <c r="EM32" i="2" a="1"/>
  <c r="EM32" i="2" s="1"/>
  <c r="EM33" i="2" a="1"/>
  <c r="EM33" i="2" s="1"/>
  <c r="EM34" i="2" a="1"/>
  <c r="EM34" i="2" s="1"/>
  <c r="EM35" i="2" a="1"/>
  <c r="EM35" i="2" s="1"/>
  <c r="EM36" i="2" a="1"/>
  <c r="EM36" i="2" s="1"/>
  <c r="EM37" i="2" a="1"/>
  <c r="EM37" i="2" s="1"/>
  <c r="EM38" i="2" a="1"/>
  <c r="EM38" i="2" s="1"/>
  <c r="EM39" i="2" a="1"/>
  <c r="EM39" i="2" s="1"/>
  <c r="EM40" i="2" a="1"/>
  <c r="EM40" i="2" s="1"/>
  <c r="EM41" i="2" a="1"/>
  <c r="EM41" i="2" s="1"/>
  <c r="EM42" i="2" a="1"/>
  <c r="EM42" i="2" s="1"/>
  <c r="EM43" i="2" a="1"/>
  <c r="EM43" i="2" s="1"/>
  <c r="EM44" i="2" a="1"/>
  <c r="EM44" i="2" s="1"/>
  <c r="EM45" i="2" a="1"/>
  <c r="EM45" i="2" s="1"/>
  <c r="EA46" i="2" a="1"/>
  <c r="EA46" i="2" s="1"/>
  <c r="EB46" i="2" a="1"/>
  <c r="EB46" i="2" s="1"/>
  <c r="EC46" i="2" a="1"/>
  <c r="EC46" i="2" s="1"/>
  <c r="ED46" i="2" a="1"/>
  <c r="ED46" i="2" s="1"/>
  <c r="EE46" i="2" a="1"/>
  <c r="EE46" i="2" s="1"/>
  <c r="EF46" i="2" a="1"/>
  <c r="EF46" i="2" s="1"/>
  <c r="EG46" i="2" a="1"/>
  <c r="EG46" i="2" s="1"/>
  <c r="EH46" i="2" a="1"/>
  <c r="EH46" i="2" s="1"/>
  <c r="EI46" i="2" a="1"/>
  <c r="EI46" i="2" s="1"/>
  <c r="EJ46" i="2" a="1"/>
  <c r="EJ46" i="2" s="1"/>
  <c r="EK46" i="2" a="1"/>
  <c r="EK46" i="2" s="1"/>
  <c r="EL46" i="2" a="1"/>
  <c r="EL46" i="2" s="1"/>
  <c r="EM49" i="2" a="1"/>
  <c r="EM49" i="2" s="1"/>
  <c r="EM65" i="2" s="1" a="1"/>
  <c r="EM65" i="2" s="1"/>
  <c r="EM50" i="2" a="1"/>
  <c r="EM50" i="2" s="1"/>
  <c r="EM51" i="2" a="1"/>
  <c r="EM51" i="2" s="1"/>
  <c r="EM52" i="2" a="1"/>
  <c r="EM52" i="2" s="1"/>
  <c r="EM53" i="2" a="1"/>
  <c r="EM53" i="2" s="1"/>
  <c r="EM54" i="2" a="1"/>
  <c r="EM54" i="2" s="1"/>
  <c r="EM55" i="2" a="1"/>
  <c r="EM55" i="2" s="1"/>
  <c r="EM56" i="2" a="1"/>
  <c r="EM56" i="2" s="1"/>
  <c r="EM57" i="2" a="1"/>
  <c r="EM57" i="2" s="1"/>
  <c r="EM58" i="2" a="1"/>
  <c r="EM58" i="2" s="1"/>
  <c r="EM59" i="2" a="1"/>
  <c r="EM59" i="2" s="1"/>
  <c r="EM60" i="2" a="1"/>
  <c r="EM60" i="2" s="1"/>
  <c r="EM61" i="2" a="1"/>
  <c r="EM61" i="2" s="1"/>
  <c r="EM62" i="2" a="1"/>
  <c r="EM62" i="2" s="1"/>
  <c r="EM63" i="2" a="1"/>
  <c r="EM63" i="2" s="1"/>
  <c r="EM64" i="2" a="1"/>
  <c r="EM64" i="2" s="1"/>
  <c r="EA65" i="2" a="1"/>
  <c r="EA65" i="2" s="1"/>
  <c r="EB65" i="2" a="1"/>
  <c r="EB65" i="2" s="1"/>
  <c r="EC65" i="2" a="1"/>
  <c r="EC65" i="2" s="1"/>
  <c r="ED65" i="2" a="1"/>
  <c r="ED65" i="2" s="1"/>
  <c r="EE65" i="2" a="1"/>
  <c r="EE65" i="2" s="1"/>
  <c r="EF65" i="2" a="1"/>
  <c r="EF65" i="2" s="1"/>
  <c r="EG65" i="2" a="1"/>
  <c r="EG65" i="2" s="1"/>
  <c r="EH65" i="2" a="1"/>
  <c r="EH65" i="2" s="1"/>
  <c r="EI65" i="2" a="1"/>
  <c r="EI65" i="2" s="1"/>
  <c r="EJ65" i="2" a="1"/>
  <c r="EJ65" i="2" s="1"/>
  <c r="EK65" i="2" a="1"/>
  <c r="EK65" i="2" s="1"/>
  <c r="EL65" i="2" a="1"/>
  <c r="EL65" i="2" s="1"/>
  <c r="DY11" i="2" a="1"/>
  <c r="DY11" i="2" s="1"/>
  <c r="DY27" i="2" s="1" a="1"/>
  <c r="DY27" i="2" s="1"/>
  <c r="DY12" i="2" a="1"/>
  <c r="DY12" i="2" s="1"/>
  <c r="DY13" i="2" a="1"/>
  <c r="DY13" i="2" s="1"/>
  <c r="DY14" i="2" a="1"/>
  <c r="DY14" i="2" s="1"/>
  <c r="DY15" i="2" a="1"/>
  <c r="DY15" i="2" s="1"/>
  <c r="DY16" i="2" a="1"/>
  <c r="DY16" i="2" s="1"/>
  <c r="DY17" i="2" a="1"/>
  <c r="DY17" i="2" s="1"/>
  <c r="DY18" i="2" a="1"/>
  <c r="DY18" i="2" s="1"/>
  <c r="DY19" i="2" a="1"/>
  <c r="DY19" i="2" s="1"/>
  <c r="DY20" i="2" a="1"/>
  <c r="DY20" i="2" s="1"/>
  <c r="DY21" i="2" a="1"/>
  <c r="DY21" i="2" s="1"/>
  <c r="DY22" i="2" a="1"/>
  <c r="DY22" i="2" s="1"/>
  <c r="DY23" i="2" a="1"/>
  <c r="DY23" i="2" s="1"/>
  <c r="DY24" i="2" a="1"/>
  <c r="DY24" i="2" s="1"/>
  <c r="DY25" i="2" a="1"/>
  <c r="DY25" i="2" s="1"/>
  <c r="DY26" i="2" a="1"/>
  <c r="DY26" i="2" s="1"/>
  <c r="DM27" i="2" a="1"/>
  <c r="DM27" i="2" s="1"/>
  <c r="DN27" i="2" a="1"/>
  <c r="DN27" i="2" s="1"/>
  <c r="DO27" i="2" a="1"/>
  <c r="DO27" i="2" s="1"/>
  <c r="DP27" i="2" a="1"/>
  <c r="DP27" i="2" s="1"/>
  <c r="DQ27" i="2" a="1"/>
  <c r="DQ27" i="2" s="1"/>
  <c r="DR27" i="2" a="1"/>
  <c r="DR27" i="2" s="1"/>
  <c r="DS27" i="2" a="1"/>
  <c r="DS27" i="2" s="1"/>
  <c r="DT27" i="2" a="1"/>
  <c r="DT27" i="2" s="1"/>
  <c r="DU27" i="2" a="1"/>
  <c r="DU27" i="2" s="1"/>
  <c r="DV27" i="2" a="1"/>
  <c r="DV27" i="2" s="1"/>
  <c r="DW27" i="2" a="1"/>
  <c r="DW27" i="2" s="1"/>
  <c r="DX27" i="2" a="1"/>
  <c r="DX27" i="2" s="1"/>
  <c r="DY30" i="2" a="1"/>
  <c r="DY30" i="2" s="1"/>
  <c r="DY46" i="2" s="1" a="1"/>
  <c r="DY46" i="2" s="1"/>
  <c r="DY31" i="2" a="1"/>
  <c r="DY31" i="2" s="1"/>
  <c r="DY32" i="2" a="1"/>
  <c r="DY32" i="2" s="1"/>
  <c r="DY33" i="2" a="1"/>
  <c r="DY33" i="2" s="1"/>
  <c r="DY34" i="2" a="1"/>
  <c r="DY34" i="2" s="1"/>
  <c r="DY35" i="2" a="1"/>
  <c r="DY35" i="2" s="1"/>
  <c r="DY36" i="2" a="1"/>
  <c r="DY36" i="2" s="1"/>
  <c r="DY37" i="2" a="1"/>
  <c r="DY37" i="2" s="1"/>
  <c r="DY38" i="2" a="1"/>
  <c r="DY38" i="2" s="1"/>
  <c r="DY39" i="2" a="1"/>
  <c r="DY39" i="2" s="1"/>
  <c r="DY40" i="2" a="1"/>
  <c r="DY40" i="2" s="1"/>
  <c r="DY41" i="2" a="1"/>
  <c r="DY41" i="2" s="1"/>
  <c r="DY42" i="2" a="1"/>
  <c r="DY42" i="2" s="1"/>
  <c r="DY43" i="2" a="1"/>
  <c r="DY43" i="2" s="1"/>
  <c r="DY44" i="2" a="1"/>
  <c r="DY44" i="2" s="1"/>
  <c r="DY45" i="2" a="1"/>
  <c r="DY45" i="2" s="1"/>
  <c r="DM46" i="2" a="1"/>
  <c r="DM46" i="2" s="1"/>
  <c r="DN46" i="2" a="1"/>
  <c r="DN46" i="2" s="1"/>
  <c r="DO46" i="2" a="1"/>
  <c r="DO46" i="2" s="1"/>
  <c r="DP46" i="2" a="1"/>
  <c r="DP46" i="2" s="1"/>
  <c r="DQ46" i="2" a="1"/>
  <c r="DQ46" i="2" s="1"/>
  <c r="DR46" i="2" a="1"/>
  <c r="DR46" i="2" s="1"/>
  <c r="DS46" i="2" a="1"/>
  <c r="DS46" i="2" s="1"/>
  <c r="DT46" i="2" a="1"/>
  <c r="DT46" i="2" s="1"/>
  <c r="DU46" i="2" a="1"/>
  <c r="DU46" i="2" s="1"/>
  <c r="DV46" i="2" a="1"/>
  <c r="DV46" i="2" s="1"/>
  <c r="DW46" i="2" a="1"/>
  <c r="DW46" i="2" s="1"/>
  <c r="DX46" i="2" a="1"/>
  <c r="DX46" i="2" s="1"/>
  <c r="DY49" i="2" a="1"/>
  <c r="DY49" i="2" s="1"/>
  <c r="DY65" i="2" s="1" a="1"/>
  <c r="DY65" i="2" s="1"/>
  <c r="DY50" i="2" a="1"/>
  <c r="DY50" i="2" s="1"/>
  <c r="DY51" i="2" a="1"/>
  <c r="DY51" i="2" s="1"/>
  <c r="DY52" i="2" a="1"/>
  <c r="DY52" i="2" s="1"/>
  <c r="DY53" i="2" a="1"/>
  <c r="DY53" i="2" s="1"/>
  <c r="DY54" i="2" a="1"/>
  <c r="DY54" i="2" s="1"/>
  <c r="DY55" i="2" a="1"/>
  <c r="DY55" i="2" s="1"/>
  <c r="DY56" i="2" a="1"/>
  <c r="DY56" i="2" s="1"/>
  <c r="DY57" i="2" a="1"/>
  <c r="DY57" i="2" s="1"/>
  <c r="DY58" i="2" a="1"/>
  <c r="DY58" i="2" s="1"/>
  <c r="DY59" i="2" a="1"/>
  <c r="DY59" i="2" s="1"/>
  <c r="DY60" i="2" a="1"/>
  <c r="DY60" i="2" s="1"/>
  <c r="DY61" i="2" a="1"/>
  <c r="DY61" i="2" s="1"/>
  <c r="DY62" i="2" a="1"/>
  <c r="DY62" i="2" s="1"/>
  <c r="DY63" i="2" a="1"/>
  <c r="DY63" i="2" s="1"/>
  <c r="DY64" i="2" a="1"/>
  <c r="DY64" i="2" s="1"/>
  <c r="DM65" i="2" a="1"/>
  <c r="DM65" i="2" s="1"/>
  <c r="DN65" i="2" a="1"/>
  <c r="DN65" i="2" s="1"/>
  <c r="DO65" i="2" a="1"/>
  <c r="DO65" i="2" s="1"/>
  <c r="DP65" i="2" a="1"/>
  <c r="DP65" i="2" s="1"/>
  <c r="DQ65" i="2" a="1"/>
  <c r="DQ65" i="2" s="1"/>
  <c r="DR65" i="2" a="1"/>
  <c r="DR65" i="2" s="1"/>
  <c r="DS65" i="2" a="1"/>
  <c r="DS65" i="2" s="1"/>
  <c r="DT65" i="2" a="1"/>
  <c r="DT65" i="2" s="1"/>
  <c r="DU65" i="2" a="1"/>
  <c r="DU65" i="2" s="1"/>
  <c r="DV65" i="2" a="1"/>
  <c r="DV65" i="2" s="1"/>
  <c r="DW65" i="2" a="1"/>
  <c r="DW65" i="2" s="1"/>
  <c r="DX65" i="2" a="1"/>
  <c r="DX65" i="2" s="1"/>
  <c r="AS11" i="2" a="1"/>
  <c r="AS11" i="2" s="1"/>
  <c r="AS27" i="2" s="1" a="1"/>
  <c r="AS27" i="2" s="1"/>
  <c r="BG11" i="2" a="1"/>
  <c r="BG11" i="2" s="1"/>
  <c r="BG27" i="2" s="1" a="1"/>
  <c r="BG27" i="2" s="1"/>
  <c r="BU11" i="2" a="1"/>
  <c r="BU11" i="2" s="1"/>
  <c r="BU27" i="2" s="1" a="1"/>
  <c r="BU27" i="2" s="1"/>
  <c r="CI11" i="2" a="1"/>
  <c r="CI11" i="2" s="1"/>
  <c r="CI27" i="2" s="1" a="1"/>
  <c r="CI27" i="2" s="1"/>
  <c r="CW11" i="2" a="1"/>
  <c r="CW11" i="2" s="1"/>
  <c r="CW27" i="2" s="1" a="1"/>
  <c r="CW27" i="2" s="1"/>
  <c r="DK11" i="2" a="1"/>
  <c r="DK11" i="2" s="1"/>
  <c r="DK27" i="2" s="1" a="1"/>
  <c r="DK27" i="2" s="1"/>
  <c r="AS12" i="2" a="1"/>
  <c r="AS12" i="2" s="1"/>
  <c r="BG12" i="2" a="1"/>
  <c r="BG12" i="2" s="1"/>
  <c r="BU12" i="2" a="1"/>
  <c r="BU12" i="2" s="1"/>
  <c r="CI12" i="2" a="1"/>
  <c r="CI12" i="2" s="1"/>
  <c r="CW12" i="2" a="1"/>
  <c r="CW12" i="2" s="1"/>
  <c r="DK12" i="2" a="1"/>
  <c r="DK12" i="2" s="1"/>
  <c r="AS13" i="2" a="1"/>
  <c r="AS13" i="2" s="1"/>
  <c r="BG13" i="2" a="1"/>
  <c r="BG13" i="2" s="1"/>
  <c r="BU13" i="2" a="1"/>
  <c r="BU13" i="2" s="1"/>
  <c r="CI13" i="2" a="1"/>
  <c r="CI13" i="2" s="1"/>
  <c r="CW13" i="2" a="1"/>
  <c r="CW13" i="2" s="1"/>
  <c r="DK13" i="2" a="1"/>
  <c r="DK13" i="2" s="1"/>
  <c r="AS14" i="2" a="1"/>
  <c r="AS14" i="2" s="1"/>
  <c r="BG14" i="2" a="1"/>
  <c r="BG14" i="2" s="1"/>
  <c r="BU14" i="2" a="1"/>
  <c r="BU14" i="2" s="1"/>
  <c r="CI14" i="2" a="1"/>
  <c r="CI14" i="2" s="1"/>
  <c r="CW14" i="2" a="1"/>
  <c r="CW14" i="2" s="1"/>
  <c r="DK14" i="2" a="1"/>
  <c r="DK14" i="2"/>
  <c r="AS15" i="2" a="1"/>
  <c r="AS15" i="2" s="1"/>
  <c r="BG15" i="2" a="1"/>
  <c r="BG15" i="2" s="1"/>
  <c r="BU15" i="2" a="1"/>
  <c r="BU15" i="2" s="1"/>
  <c r="CI15" i="2" a="1"/>
  <c r="CI15" i="2" s="1"/>
  <c r="CW15" i="2" a="1"/>
  <c r="CW15" i="2" s="1"/>
  <c r="DK15" i="2" a="1"/>
  <c r="DK15" i="2" s="1"/>
  <c r="AS16" i="2" a="1"/>
  <c r="AS16" i="2" s="1"/>
  <c r="BG16" i="2" a="1"/>
  <c r="BG16" i="2" s="1"/>
  <c r="BU16" i="2" a="1"/>
  <c r="BU16" i="2" s="1"/>
  <c r="CI16" i="2" a="1"/>
  <c r="CI16" i="2" s="1"/>
  <c r="CW16" i="2" a="1"/>
  <c r="CW16" i="2" s="1"/>
  <c r="DK16" i="2" a="1"/>
  <c r="DK16" i="2" s="1"/>
  <c r="AS17" i="2" a="1"/>
  <c r="AS17" i="2" s="1"/>
  <c r="BG17" i="2" a="1"/>
  <c r="BG17" i="2" s="1"/>
  <c r="BU17" i="2" a="1"/>
  <c r="BU17" i="2" s="1"/>
  <c r="CI17" i="2" a="1"/>
  <c r="CI17" i="2" s="1"/>
  <c r="CW17" i="2" a="1"/>
  <c r="CW17" i="2" s="1"/>
  <c r="DK17" i="2" a="1"/>
  <c r="DK17" i="2" s="1"/>
  <c r="AS18" i="2" a="1"/>
  <c r="AS18" i="2" s="1"/>
  <c r="BG18" i="2" a="1"/>
  <c r="BG18" i="2" s="1"/>
  <c r="BU18" i="2" a="1"/>
  <c r="BU18" i="2" s="1"/>
  <c r="CI18" i="2" a="1"/>
  <c r="CI18" i="2" s="1"/>
  <c r="CW18" i="2" a="1"/>
  <c r="CW18" i="2" s="1"/>
  <c r="DK18" i="2" a="1"/>
  <c r="DK18" i="2" s="1"/>
  <c r="AS19" i="2" a="1"/>
  <c r="AS19" i="2" s="1"/>
  <c r="BG19" i="2" a="1"/>
  <c r="BG19" i="2" s="1"/>
  <c r="BU19" i="2" a="1"/>
  <c r="BU19" i="2" s="1"/>
  <c r="CI19" i="2" a="1"/>
  <c r="CI19" i="2" s="1"/>
  <c r="CW19" i="2" a="1"/>
  <c r="CW19" i="2" s="1"/>
  <c r="DK19" i="2" a="1"/>
  <c r="DK19" i="2" s="1"/>
  <c r="AS20" i="2" a="1"/>
  <c r="AS20" i="2" s="1"/>
  <c r="BG20" i="2" a="1"/>
  <c r="BG20" i="2" s="1"/>
  <c r="BU20" i="2" a="1"/>
  <c r="BU20" i="2" s="1"/>
  <c r="CI20" i="2" a="1"/>
  <c r="CI20" i="2"/>
  <c r="CW20" i="2" a="1"/>
  <c r="CW20" i="2" s="1"/>
  <c r="DK20" i="2" a="1"/>
  <c r="DK20" i="2" s="1"/>
  <c r="AS21" i="2" a="1"/>
  <c r="AS21" i="2" s="1"/>
  <c r="BG21" i="2" a="1"/>
  <c r="BG21" i="2" s="1"/>
  <c r="BU21" i="2" a="1"/>
  <c r="BU21" i="2" s="1"/>
  <c r="CI21" i="2" a="1"/>
  <c r="CI21" i="2" s="1"/>
  <c r="CW21" i="2" a="1"/>
  <c r="CW21" i="2"/>
  <c r="DK21" i="2" a="1"/>
  <c r="DK21" i="2" s="1"/>
  <c r="AS22" i="2" a="1"/>
  <c r="AS22" i="2" s="1"/>
  <c r="BG22" i="2" a="1"/>
  <c r="BG22" i="2" s="1"/>
  <c r="BU22" i="2" a="1"/>
  <c r="BU22" i="2" s="1"/>
  <c r="CI22" i="2" a="1"/>
  <c r="CI22" i="2" s="1"/>
  <c r="CW22" i="2" a="1"/>
  <c r="CW22" i="2" s="1"/>
  <c r="DK22" i="2" a="1"/>
  <c r="DK22" i="2" s="1"/>
  <c r="AS23" i="2" a="1"/>
  <c r="AS23" i="2" s="1"/>
  <c r="BG23" i="2" a="1"/>
  <c r="BG23" i="2" s="1"/>
  <c r="BU23" i="2" a="1"/>
  <c r="BU23" i="2" s="1"/>
  <c r="CI23" i="2" a="1"/>
  <c r="CI23" i="2" s="1"/>
  <c r="CW23" i="2" a="1"/>
  <c r="CW23" i="2" s="1"/>
  <c r="DK23" i="2" a="1"/>
  <c r="DK23" i="2" s="1"/>
  <c r="AS24" i="2" a="1"/>
  <c r="AS24" i="2" s="1"/>
  <c r="BG24" i="2" a="1"/>
  <c r="BG24" i="2" s="1"/>
  <c r="BU24" i="2" a="1"/>
  <c r="BU24" i="2" s="1"/>
  <c r="CI24" i="2" a="1"/>
  <c r="CI24" i="2" s="1"/>
  <c r="CW24" i="2" a="1"/>
  <c r="CW24" i="2" s="1"/>
  <c r="DK24" i="2" a="1"/>
  <c r="DK24" i="2" s="1"/>
  <c r="AS25" i="2" a="1"/>
  <c r="AS25" i="2" s="1"/>
  <c r="BG25" i="2" a="1"/>
  <c r="BG25" i="2" s="1"/>
  <c r="BU25" i="2" a="1"/>
  <c r="BU25" i="2" s="1"/>
  <c r="CI25" i="2" a="1"/>
  <c r="CI25" i="2" s="1"/>
  <c r="CW25" i="2" a="1"/>
  <c r="CW25" i="2" s="1"/>
  <c r="DK25" i="2" a="1"/>
  <c r="DK25" i="2" s="1"/>
  <c r="AS26" i="2" a="1"/>
  <c r="AS26" i="2" s="1"/>
  <c r="BG26" i="2" a="1"/>
  <c r="BG26" i="2" s="1"/>
  <c r="BU26" i="2" a="1"/>
  <c r="BU26" i="2" s="1"/>
  <c r="CI26" i="2" a="1"/>
  <c r="CI26" i="2" s="1"/>
  <c r="CW26" i="2" a="1"/>
  <c r="CW26" i="2" s="1"/>
  <c r="DK26" i="2" a="1"/>
  <c r="DK26" i="2" s="1"/>
  <c r="AG27" i="2" a="1"/>
  <c r="AG27" i="2" s="1"/>
  <c r="AH27" i="2" a="1"/>
  <c r="AH27" i="2" s="1"/>
  <c r="AI27" i="2" a="1"/>
  <c r="AI27" i="2" s="1"/>
  <c r="AJ27" i="2" a="1"/>
  <c r="AJ27" i="2" s="1"/>
  <c r="AK27" i="2" a="1"/>
  <c r="AK27" i="2" s="1"/>
  <c r="AL27" i="2" a="1"/>
  <c r="AL27" i="2" s="1"/>
  <c r="AM27" i="2" a="1"/>
  <c r="AM27" i="2" s="1"/>
  <c r="AN27" i="2" a="1"/>
  <c r="AN27" i="2" s="1"/>
  <c r="AO27" i="2" a="1"/>
  <c r="AO27" i="2" s="1"/>
  <c r="AP27" i="2" a="1"/>
  <c r="AP27" i="2" s="1"/>
  <c r="AQ27" i="2" a="1"/>
  <c r="AQ27" i="2" s="1"/>
  <c r="AR27" i="2" a="1"/>
  <c r="AR27" i="2" s="1"/>
  <c r="AU27" i="2" a="1"/>
  <c r="AU27" i="2" s="1"/>
  <c r="AV27" i="2" a="1"/>
  <c r="AV27" i="2" s="1"/>
  <c r="AW27" i="2" a="1"/>
  <c r="AW27" i="2" s="1"/>
  <c r="AX27" i="2" a="1"/>
  <c r="AX27" i="2" s="1"/>
  <c r="AY27" i="2" a="1"/>
  <c r="AY27" i="2" s="1"/>
  <c r="AZ27" i="2" a="1"/>
  <c r="AZ27" i="2" s="1"/>
  <c r="BA27" i="2" a="1"/>
  <c r="BA27" i="2" s="1"/>
  <c r="BB27" i="2" a="1"/>
  <c r="BB27" i="2" s="1"/>
  <c r="BC27" i="2" a="1"/>
  <c r="BC27" i="2" s="1"/>
  <c r="BD27" i="2" a="1"/>
  <c r="BD27" i="2" s="1"/>
  <c r="BE27" i="2" a="1"/>
  <c r="BE27" i="2" s="1"/>
  <c r="BF27" i="2" a="1"/>
  <c r="BF27" i="2" s="1"/>
  <c r="BI27" i="2" a="1"/>
  <c r="BI27" i="2" s="1"/>
  <c r="BJ27" i="2" a="1"/>
  <c r="BJ27" i="2" s="1"/>
  <c r="BK27" i="2" a="1"/>
  <c r="BK27" i="2" s="1"/>
  <c r="BL27" i="2" a="1"/>
  <c r="BL27" i="2" s="1"/>
  <c r="BM27" i="2" a="1"/>
  <c r="BM27" i="2" s="1"/>
  <c r="BN27" i="2" a="1"/>
  <c r="BN27" i="2" s="1"/>
  <c r="BO27" i="2" a="1"/>
  <c r="BO27" i="2" s="1"/>
  <c r="BP27" i="2" a="1"/>
  <c r="BP27" i="2" s="1"/>
  <c r="BQ27" i="2" a="1"/>
  <c r="BQ27" i="2" s="1"/>
  <c r="BR27" i="2" a="1"/>
  <c r="BR27" i="2" s="1"/>
  <c r="BS27" i="2" a="1"/>
  <c r="BS27" i="2" s="1"/>
  <c r="BT27" i="2" a="1"/>
  <c r="BT27" i="2" s="1"/>
  <c r="BW27" i="2" a="1"/>
  <c r="BW27" i="2" s="1"/>
  <c r="BX27" i="2" a="1"/>
  <c r="BX27" i="2" s="1"/>
  <c r="BY27" i="2" a="1"/>
  <c r="BY27" i="2" s="1"/>
  <c r="BZ27" i="2" a="1"/>
  <c r="BZ27" i="2" s="1"/>
  <c r="CA27" i="2" a="1"/>
  <c r="CA27" i="2" s="1"/>
  <c r="CB27" i="2" a="1"/>
  <c r="CB27" i="2" s="1"/>
  <c r="CC27" i="2" a="1"/>
  <c r="CC27" i="2" s="1"/>
  <c r="CD27" i="2" a="1"/>
  <c r="CD27" i="2" s="1"/>
  <c r="CE27" i="2" a="1"/>
  <c r="CE27" i="2" s="1"/>
  <c r="CF27" i="2" a="1"/>
  <c r="CF27" i="2" s="1"/>
  <c r="CG27" i="2" a="1"/>
  <c r="CG27" i="2" s="1"/>
  <c r="CH27" i="2" a="1"/>
  <c r="CH27" i="2" s="1"/>
  <c r="CK27" i="2" a="1"/>
  <c r="CK27" i="2" s="1"/>
  <c r="CL27" i="2" a="1"/>
  <c r="CL27" i="2" s="1"/>
  <c r="CM27" i="2" a="1"/>
  <c r="CM27" i="2" s="1"/>
  <c r="CN27" i="2" a="1"/>
  <c r="CN27" i="2" s="1"/>
  <c r="CO27" i="2" a="1"/>
  <c r="CO27" i="2" s="1"/>
  <c r="CP27" i="2" a="1"/>
  <c r="CP27" i="2" s="1"/>
  <c r="CQ27" i="2" a="1"/>
  <c r="CQ27" i="2" s="1"/>
  <c r="CR27" i="2" a="1"/>
  <c r="CR27" i="2" s="1"/>
  <c r="CS27" i="2" a="1"/>
  <c r="CS27" i="2" s="1"/>
  <c r="CT27" i="2" a="1"/>
  <c r="CT27" i="2" s="1"/>
  <c r="CU27" i="2" a="1"/>
  <c r="CU27" i="2" s="1"/>
  <c r="CV27" i="2" a="1"/>
  <c r="CV27" i="2" s="1"/>
  <c r="CY27" i="2" a="1"/>
  <c r="CY27" i="2" s="1"/>
  <c r="CZ27" i="2" a="1"/>
  <c r="CZ27" i="2" s="1"/>
  <c r="DA27" i="2" a="1"/>
  <c r="DA27" i="2" s="1"/>
  <c r="DB27" i="2" a="1"/>
  <c r="DB27" i="2" s="1"/>
  <c r="DC27" i="2" a="1"/>
  <c r="DC27" i="2" s="1"/>
  <c r="DD27" i="2" a="1"/>
  <c r="DD27" i="2" s="1"/>
  <c r="DE27" i="2" a="1"/>
  <c r="DE27" i="2" s="1"/>
  <c r="DF27" i="2" a="1"/>
  <c r="DF27" i="2" s="1"/>
  <c r="DG27" i="2" a="1"/>
  <c r="DG27" i="2" s="1"/>
  <c r="DH27" i="2" a="1"/>
  <c r="DH27" i="2" s="1"/>
  <c r="DI27" i="2" a="1"/>
  <c r="DI27" i="2" s="1"/>
  <c r="DJ27" i="2" a="1"/>
  <c r="DJ27" i="2" s="1"/>
  <c r="AS30" i="2" a="1"/>
  <c r="AS30" i="2" s="1"/>
  <c r="AS46" i="2" s="1" a="1"/>
  <c r="AS46" i="2" s="1"/>
  <c r="BG30" i="2" a="1"/>
  <c r="BG30" i="2" s="1"/>
  <c r="BG46" i="2" s="1" a="1"/>
  <c r="BG46" i="2" s="1"/>
  <c r="BU30" i="2" a="1"/>
  <c r="BU30" i="2" s="1"/>
  <c r="BU46" i="2" s="1" a="1"/>
  <c r="BU46" i="2" s="1"/>
  <c r="CI30" i="2" a="1"/>
  <c r="CI30" i="2" s="1"/>
  <c r="CI46" i="2" s="1" a="1"/>
  <c r="CI46" i="2" s="1"/>
  <c r="CW30" i="2" a="1"/>
  <c r="CW30" i="2" s="1"/>
  <c r="CW46" i="2" s="1" a="1"/>
  <c r="CW46" i="2" s="1"/>
  <c r="DK30" i="2" a="1"/>
  <c r="DK30" i="2" s="1"/>
  <c r="DK46" i="2" s="1" a="1"/>
  <c r="DK46" i="2" s="1"/>
  <c r="AS31" i="2" a="1"/>
  <c r="AS31" i="2" s="1"/>
  <c r="BG31" i="2" a="1"/>
  <c r="BG31" i="2" s="1"/>
  <c r="BU31" i="2" a="1"/>
  <c r="BU31" i="2" s="1"/>
  <c r="CI31" i="2" a="1"/>
  <c r="CI31" i="2" s="1"/>
  <c r="CW31" i="2" a="1"/>
  <c r="CW31" i="2"/>
  <c r="DK31" i="2" a="1"/>
  <c r="DK31" i="2" s="1"/>
  <c r="AS32" i="2" a="1"/>
  <c r="AS32" i="2" s="1"/>
  <c r="BG32" i="2" a="1"/>
  <c r="BG32" i="2" s="1"/>
  <c r="BU32" i="2" a="1"/>
  <c r="BU32" i="2" s="1"/>
  <c r="CI32" i="2" a="1"/>
  <c r="CI32" i="2" s="1"/>
  <c r="CW32" i="2" a="1"/>
  <c r="CW32" i="2" s="1"/>
  <c r="DK32" i="2" a="1"/>
  <c r="DK32" i="2" s="1"/>
  <c r="AS33" i="2" a="1"/>
  <c r="AS33" i="2" s="1"/>
  <c r="BG33" i="2" a="1"/>
  <c r="BG33" i="2" s="1"/>
  <c r="BU33" i="2" a="1"/>
  <c r="BU33" i="2" s="1"/>
  <c r="CI33" i="2" a="1"/>
  <c r="CI33" i="2" s="1"/>
  <c r="CW33" i="2" a="1"/>
  <c r="CW33" i="2" s="1"/>
  <c r="DK33" i="2" a="1"/>
  <c r="DK33" i="2" s="1"/>
  <c r="AS34" i="2" a="1"/>
  <c r="AS34" i="2" s="1"/>
  <c r="BG34" i="2" a="1"/>
  <c r="BG34" i="2" s="1"/>
  <c r="BU34" i="2" a="1"/>
  <c r="BU34" i="2" s="1"/>
  <c r="CI34" i="2" a="1"/>
  <c r="CI34" i="2" s="1"/>
  <c r="CW34" i="2" a="1"/>
  <c r="CW34" i="2" s="1"/>
  <c r="DK34" i="2" a="1"/>
  <c r="DK34" i="2" s="1"/>
  <c r="AS35" i="2" a="1"/>
  <c r="AS35" i="2" s="1"/>
  <c r="BG35" i="2" a="1"/>
  <c r="BG35" i="2" s="1"/>
  <c r="BU35" i="2" a="1"/>
  <c r="BU35" i="2" s="1"/>
  <c r="CI35" i="2" a="1"/>
  <c r="CI35" i="2" s="1"/>
  <c r="CW35" i="2" a="1"/>
  <c r="CW35" i="2" s="1"/>
  <c r="DK35" i="2" a="1"/>
  <c r="DK35" i="2" s="1"/>
  <c r="AS36" i="2" a="1"/>
  <c r="AS36" i="2" s="1"/>
  <c r="BG36" i="2" a="1"/>
  <c r="BG36" i="2" s="1"/>
  <c r="BU36" i="2" a="1"/>
  <c r="BU36" i="2" s="1"/>
  <c r="CI36" i="2" a="1"/>
  <c r="CI36" i="2" s="1"/>
  <c r="CW36" i="2" a="1"/>
  <c r="CW36" i="2" s="1"/>
  <c r="DK36" i="2" a="1"/>
  <c r="DK36" i="2" s="1"/>
  <c r="AS37" i="2" a="1"/>
  <c r="AS37" i="2" s="1"/>
  <c r="BG37" i="2" a="1"/>
  <c r="BG37" i="2" s="1"/>
  <c r="BU37" i="2" a="1"/>
  <c r="BU37" i="2" s="1"/>
  <c r="CI37" i="2" a="1"/>
  <c r="CI37" i="2" s="1"/>
  <c r="CW37" i="2" a="1"/>
  <c r="CW37" i="2" s="1"/>
  <c r="DK37" i="2" a="1"/>
  <c r="DK37" i="2" s="1"/>
  <c r="AS38" i="2" a="1"/>
  <c r="AS38" i="2" s="1"/>
  <c r="BG38" i="2" a="1"/>
  <c r="BG38" i="2" s="1"/>
  <c r="BU38" i="2" a="1"/>
  <c r="BU38" i="2" s="1"/>
  <c r="CI38" i="2" a="1"/>
  <c r="CI38" i="2" s="1"/>
  <c r="CW38" i="2" a="1"/>
  <c r="CW38" i="2" s="1"/>
  <c r="DK38" i="2" a="1"/>
  <c r="DK38" i="2" s="1"/>
  <c r="AS39" i="2" a="1"/>
  <c r="AS39" i="2" s="1"/>
  <c r="BG39" i="2" a="1"/>
  <c r="BG39" i="2" s="1"/>
  <c r="BU39" i="2" a="1"/>
  <c r="BU39" i="2" s="1"/>
  <c r="CI39" i="2" a="1"/>
  <c r="CI39" i="2" s="1"/>
  <c r="CW39" i="2" a="1"/>
  <c r="CW39" i="2" s="1"/>
  <c r="DK39" i="2" a="1"/>
  <c r="DK39" i="2" s="1"/>
  <c r="AS40" i="2" a="1"/>
  <c r="AS40" i="2" s="1"/>
  <c r="BG40" i="2" a="1"/>
  <c r="BG40" i="2"/>
  <c r="BU40" i="2" a="1"/>
  <c r="BU40" i="2" s="1"/>
  <c r="CI40" i="2" a="1"/>
  <c r="CI40" i="2" s="1"/>
  <c r="CW40" i="2" a="1"/>
  <c r="CW40" i="2" s="1"/>
  <c r="DK40" i="2" a="1"/>
  <c r="DK40" i="2" s="1"/>
  <c r="AS41" i="2" a="1"/>
  <c r="AS41" i="2" s="1"/>
  <c r="BG41" i="2" a="1"/>
  <c r="BG41" i="2" s="1"/>
  <c r="BU41" i="2" a="1"/>
  <c r="BU41" i="2" s="1"/>
  <c r="CI41" i="2" a="1"/>
  <c r="CI41" i="2" s="1"/>
  <c r="CW41" i="2" a="1"/>
  <c r="CW41" i="2" s="1"/>
  <c r="DK41" i="2" a="1"/>
  <c r="DK41" i="2" s="1"/>
  <c r="AS42" i="2" a="1"/>
  <c r="AS42" i="2" s="1"/>
  <c r="BG42" i="2" a="1"/>
  <c r="BG42" i="2" s="1"/>
  <c r="BU42" i="2" a="1"/>
  <c r="BU42" i="2" s="1"/>
  <c r="CI42" i="2" a="1"/>
  <c r="CI42" i="2" s="1"/>
  <c r="CW42" i="2" a="1"/>
  <c r="CW42" i="2" s="1"/>
  <c r="DK42" i="2" a="1"/>
  <c r="DK42" i="2" s="1"/>
  <c r="AS43" i="2" a="1"/>
  <c r="AS43" i="2" s="1"/>
  <c r="BG43" i="2" a="1"/>
  <c r="BG43" i="2" s="1"/>
  <c r="BU43" i="2" a="1"/>
  <c r="BU43" i="2"/>
  <c r="CI43" i="2" a="1"/>
  <c r="CI43" i="2" s="1"/>
  <c r="CW43" i="2" a="1"/>
  <c r="CW43" i="2" s="1"/>
  <c r="DK43" i="2" a="1"/>
  <c r="DK43" i="2" s="1"/>
  <c r="AS44" i="2" a="1"/>
  <c r="AS44" i="2" s="1"/>
  <c r="BG44" i="2" a="1"/>
  <c r="BG44" i="2" s="1"/>
  <c r="BU44" i="2" a="1"/>
  <c r="BU44" i="2" s="1"/>
  <c r="CI44" i="2" a="1"/>
  <c r="CI44" i="2" s="1"/>
  <c r="CW44" i="2" a="1"/>
  <c r="CW44" i="2" s="1"/>
  <c r="DK44" i="2" a="1"/>
  <c r="DK44" i="2" s="1"/>
  <c r="AS45" i="2" a="1"/>
  <c r="AS45" i="2"/>
  <c r="BG45" i="2" a="1"/>
  <c r="BG45" i="2" s="1"/>
  <c r="BU45" i="2" a="1"/>
  <c r="BU45" i="2" s="1"/>
  <c r="CI45" i="2" a="1"/>
  <c r="CI45" i="2" s="1"/>
  <c r="CW45" i="2" a="1"/>
  <c r="CW45" i="2" s="1"/>
  <c r="DK45" i="2" a="1"/>
  <c r="DK45" i="2" s="1"/>
  <c r="AG46" i="2" a="1"/>
  <c r="AG46" i="2" s="1"/>
  <c r="AH46" i="2" a="1"/>
  <c r="AH46" i="2" s="1"/>
  <c r="AI46" i="2" a="1"/>
  <c r="AI46" i="2" s="1"/>
  <c r="AJ46" i="2" a="1"/>
  <c r="AJ46" i="2" s="1"/>
  <c r="AK46" i="2" a="1"/>
  <c r="AK46" i="2" s="1"/>
  <c r="AL46" i="2" a="1"/>
  <c r="AL46" i="2" s="1"/>
  <c r="AM46" i="2" a="1"/>
  <c r="AM46" i="2" s="1"/>
  <c r="AN46" i="2" a="1"/>
  <c r="AN46" i="2" s="1"/>
  <c r="AO46" i="2" a="1"/>
  <c r="AO46" i="2" s="1"/>
  <c r="AP46" i="2" a="1"/>
  <c r="AP46" i="2" s="1"/>
  <c r="AQ46" i="2" a="1"/>
  <c r="AQ46" i="2" s="1"/>
  <c r="AR46" i="2" a="1"/>
  <c r="AR46" i="2" s="1"/>
  <c r="AU46" i="2" a="1"/>
  <c r="AU46" i="2" s="1"/>
  <c r="AV46" i="2" a="1"/>
  <c r="AV46" i="2" s="1"/>
  <c r="AW46" i="2" a="1"/>
  <c r="AW46" i="2" s="1"/>
  <c r="AX46" i="2" a="1"/>
  <c r="AX46" i="2" s="1"/>
  <c r="AY46" i="2" a="1"/>
  <c r="AY46" i="2" s="1"/>
  <c r="AZ46" i="2" a="1"/>
  <c r="AZ46" i="2" s="1"/>
  <c r="BA46" i="2" a="1"/>
  <c r="BA46" i="2" s="1"/>
  <c r="BB46" i="2" a="1"/>
  <c r="BB46" i="2" s="1"/>
  <c r="BC46" i="2" a="1"/>
  <c r="BC46" i="2" s="1"/>
  <c r="BD46" i="2" a="1"/>
  <c r="BD46" i="2" s="1"/>
  <c r="BE46" i="2" a="1"/>
  <c r="BE46" i="2" s="1"/>
  <c r="BF46" i="2" a="1"/>
  <c r="BF46" i="2" s="1"/>
  <c r="BI46" i="2" a="1"/>
  <c r="BI46" i="2" s="1"/>
  <c r="BJ46" i="2" a="1"/>
  <c r="BJ46" i="2" s="1"/>
  <c r="BK46" i="2" a="1"/>
  <c r="BK46" i="2" s="1"/>
  <c r="BL46" i="2" a="1"/>
  <c r="BL46" i="2" s="1"/>
  <c r="BM46" i="2" a="1"/>
  <c r="BM46" i="2" s="1"/>
  <c r="BN46" i="2" a="1"/>
  <c r="BN46" i="2" s="1"/>
  <c r="BO46" i="2" a="1"/>
  <c r="BO46" i="2" s="1"/>
  <c r="BP46" i="2" a="1"/>
  <c r="BP46" i="2" s="1"/>
  <c r="BQ46" i="2" a="1"/>
  <c r="BQ46" i="2" s="1"/>
  <c r="BR46" i="2" a="1"/>
  <c r="BR46" i="2" s="1"/>
  <c r="BS46" i="2" a="1"/>
  <c r="BS46" i="2" s="1"/>
  <c r="BT46" i="2" a="1"/>
  <c r="BT46" i="2" s="1"/>
  <c r="BW46" i="2" a="1"/>
  <c r="BW46" i="2" s="1"/>
  <c r="BX46" i="2" a="1"/>
  <c r="BX46" i="2" s="1"/>
  <c r="BY46" i="2" a="1"/>
  <c r="BY46" i="2" s="1"/>
  <c r="BZ46" i="2" a="1"/>
  <c r="BZ46" i="2" s="1"/>
  <c r="CA46" i="2" a="1"/>
  <c r="CA46" i="2" s="1"/>
  <c r="CB46" i="2" a="1"/>
  <c r="CB46" i="2" s="1"/>
  <c r="CC46" i="2" a="1"/>
  <c r="CC46" i="2" s="1"/>
  <c r="CD46" i="2" a="1"/>
  <c r="CD46" i="2" s="1"/>
  <c r="CE46" i="2" a="1"/>
  <c r="CE46" i="2" s="1"/>
  <c r="CF46" i="2" a="1"/>
  <c r="CF46" i="2" s="1"/>
  <c r="CG46" i="2" a="1"/>
  <c r="CG46" i="2" s="1"/>
  <c r="CH46" i="2" a="1"/>
  <c r="CH46" i="2" s="1"/>
  <c r="CK46" i="2" a="1"/>
  <c r="CK46" i="2" s="1"/>
  <c r="CL46" i="2" a="1"/>
  <c r="CL46" i="2" s="1"/>
  <c r="CM46" i="2" a="1"/>
  <c r="CM46" i="2" s="1"/>
  <c r="CN46" i="2" a="1"/>
  <c r="CN46" i="2" s="1"/>
  <c r="CO46" i="2" a="1"/>
  <c r="CO46" i="2" s="1"/>
  <c r="CP46" i="2" a="1"/>
  <c r="CP46" i="2" s="1"/>
  <c r="CQ46" i="2" a="1"/>
  <c r="CQ46" i="2" s="1"/>
  <c r="CR46" i="2" a="1"/>
  <c r="CR46" i="2" s="1"/>
  <c r="CS46" i="2" a="1"/>
  <c r="CS46" i="2" s="1"/>
  <c r="CT46" i="2" a="1"/>
  <c r="CT46" i="2" s="1"/>
  <c r="CU46" i="2" a="1"/>
  <c r="CU46" i="2" s="1"/>
  <c r="CV46" i="2" a="1"/>
  <c r="CV46" i="2" s="1"/>
  <c r="CY46" i="2" a="1"/>
  <c r="CY46" i="2" s="1"/>
  <c r="CZ46" i="2" a="1"/>
  <c r="CZ46" i="2" s="1"/>
  <c r="DA46" i="2" a="1"/>
  <c r="DA46" i="2" s="1"/>
  <c r="DB46" i="2" a="1"/>
  <c r="DB46" i="2" s="1"/>
  <c r="DC46" i="2" a="1"/>
  <c r="DC46" i="2" s="1"/>
  <c r="DD46" i="2" a="1"/>
  <c r="DD46" i="2" s="1"/>
  <c r="DE46" i="2" a="1"/>
  <c r="DE46" i="2" s="1"/>
  <c r="DF46" i="2" a="1"/>
  <c r="DF46" i="2" s="1"/>
  <c r="DG46" i="2" a="1"/>
  <c r="DG46" i="2" s="1"/>
  <c r="DH46" i="2" a="1"/>
  <c r="DH46" i="2" s="1"/>
  <c r="DI46" i="2" a="1"/>
  <c r="DI46" i="2" s="1"/>
  <c r="DJ46" i="2" a="1"/>
  <c r="DJ46" i="2" s="1"/>
  <c r="AS49" i="2" a="1"/>
  <c r="AS49" i="2" s="1"/>
  <c r="AS65" i="2" s="1" a="1"/>
  <c r="AS65" i="2" s="1"/>
  <c r="BG49" i="2" a="1"/>
  <c r="BG49" i="2" s="1"/>
  <c r="BG65" i="2" s="1" a="1"/>
  <c r="BG65" i="2" s="1"/>
  <c r="BU49" i="2" a="1"/>
  <c r="BU49" i="2" s="1"/>
  <c r="BU65" i="2" s="1" a="1"/>
  <c r="BU65" i="2" s="1"/>
  <c r="CI49" i="2" a="1"/>
  <c r="CI49" i="2" s="1"/>
  <c r="CI65" i="2" s="1" a="1"/>
  <c r="CI65" i="2" s="1"/>
  <c r="CW49" i="2" a="1"/>
  <c r="CW49" i="2"/>
  <c r="DK49" i="2" a="1"/>
  <c r="DK49" i="2" s="1"/>
  <c r="DK65" i="2" s="1" a="1"/>
  <c r="DK65" i="2" s="1"/>
  <c r="AS50" i="2" a="1"/>
  <c r="AS50" i="2" s="1"/>
  <c r="BG50" i="2" a="1"/>
  <c r="BG50" i="2"/>
  <c r="BU50" i="2" a="1"/>
  <c r="BU50" i="2" s="1"/>
  <c r="CI50" i="2" a="1"/>
  <c r="CI50" i="2"/>
  <c r="CW50" i="2" a="1"/>
  <c r="CW50" i="2" s="1"/>
  <c r="CW65" i="2" s="1" a="1"/>
  <c r="CW65" i="2" s="1"/>
  <c r="DK50" i="2" a="1"/>
  <c r="DK50" i="2" s="1"/>
  <c r="AS51" i="2" a="1"/>
  <c r="AS51" i="2"/>
  <c r="BG51" i="2" a="1"/>
  <c r="BG51" i="2" s="1"/>
  <c r="BU51" i="2" a="1"/>
  <c r="BU51" i="2" s="1"/>
  <c r="CI51" i="2" a="1"/>
  <c r="CI51" i="2" s="1"/>
  <c r="CW51" i="2" a="1"/>
  <c r="CW51" i="2"/>
  <c r="DK51" i="2" a="1"/>
  <c r="DK51" i="2" s="1"/>
  <c r="AS52" i="2" a="1"/>
  <c r="AS52" i="2" s="1"/>
  <c r="BG52" i="2" a="1"/>
  <c r="BG52" i="2" s="1"/>
  <c r="BU52" i="2" a="1"/>
  <c r="BU52" i="2" s="1"/>
  <c r="CI52" i="2" a="1"/>
  <c r="CI52" i="2" s="1"/>
  <c r="CW52" i="2" a="1"/>
  <c r="CW52" i="2" s="1"/>
  <c r="DK52" i="2" a="1"/>
  <c r="DK52" i="2" s="1"/>
  <c r="AS53" i="2" a="1"/>
  <c r="AS53" i="2" s="1"/>
  <c r="BG53" i="2" a="1"/>
  <c r="BG53" i="2" s="1"/>
  <c r="BU53" i="2" a="1"/>
  <c r="BU53" i="2" s="1"/>
  <c r="CI53" i="2" a="1"/>
  <c r="CI53" i="2" s="1"/>
  <c r="CW53" i="2" a="1"/>
  <c r="CW53" i="2"/>
  <c r="DK53" i="2" a="1"/>
  <c r="DK53" i="2" s="1"/>
  <c r="AS54" i="2" a="1"/>
  <c r="AS54" i="2" s="1"/>
  <c r="BG54" i="2" a="1"/>
  <c r="BG54" i="2" s="1"/>
  <c r="BU54" i="2" a="1"/>
  <c r="BU54" i="2" s="1"/>
  <c r="CI54" i="2" a="1"/>
  <c r="CI54" i="2" s="1"/>
  <c r="CW54" i="2" a="1"/>
  <c r="CW54" i="2" s="1"/>
  <c r="DK54" i="2" a="1"/>
  <c r="DK54" i="2" s="1"/>
  <c r="AS55" i="2" a="1"/>
  <c r="AS55" i="2" s="1"/>
  <c r="BG55" i="2" a="1"/>
  <c r="BG55" i="2" s="1"/>
  <c r="BU55" i="2" a="1"/>
  <c r="BU55" i="2" s="1"/>
  <c r="CI55" i="2" a="1"/>
  <c r="CI55" i="2" s="1"/>
  <c r="CW55" i="2" a="1"/>
  <c r="CW55" i="2" s="1"/>
  <c r="DK55" i="2" a="1"/>
  <c r="DK55" i="2" s="1"/>
  <c r="AS56" i="2" a="1"/>
  <c r="AS56" i="2" s="1"/>
  <c r="BG56" i="2" a="1"/>
  <c r="BG56" i="2" s="1"/>
  <c r="BU56" i="2" a="1"/>
  <c r="BU56" i="2" s="1"/>
  <c r="CI56" i="2" a="1"/>
  <c r="CI56" i="2" s="1"/>
  <c r="CW56" i="2" a="1"/>
  <c r="CW56" i="2" s="1"/>
  <c r="DK56" i="2" a="1"/>
  <c r="DK56" i="2" s="1"/>
  <c r="AS57" i="2" a="1"/>
  <c r="AS57" i="2" s="1"/>
  <c r="BG57" i="2" a="1"/>
  <c r="BG57" i="2" s="1"/>
  <c r="BU57" i="2" a="1"/>
  <c r="BU57" i="2" s="1"/>
  <c r="CI57" i="2" a="1"/>
  <c r="CI57" i="2" s="1"/>
  <c r="CW57" i="2" a="1"/>
  <c r="CW57" i="2" s="1"/>
  <c r="DK57" i="2" a="1"/>
  <c r="DK57" i="2" s="1"/>
  <c r="AS58" i="2" a="1"/>
  <c r="AS58" i="2" s="1"/>
  <c r="BG58" i="2" a="1"/>
  <c r="BG58" i="2" s="1"/>
  <c r="BU58" i="2" a="1"/>
  <c r="BU58" i="2" s="1"/>
  <c r="CI58" i="2" a="1"/>
  <c r="CI58" i="2" s="1"/>
  <c r="CW58" i="2" a="1"/>
  <c r="CW58" i="2" s="1"/>
  <c r="DK58" i="2" a="1"/>
  <c r="DK58" i="2" s="1"/>
  <c r="AS59" i="2" a="1"/>
  <c r="AS59" i="2" s="1"/>
  <c r="BG59" i="2" a="1"/>
  <c r="BG59" i="2" s="1"/>
  <c r="BU59" i="2" a="1"/>
  <c r="BU59" i="2" s="1"/>
  <c r="CI59" i="2" a="1"/>
  <c r="CI59" i="2" s="1"/>
  <c r="CW59" i="2" a="1"/>
  <c r="CW59" i="2" s="1"/>
  <c r="DK59" i="2" a="1"/>
  <c r="DK59" i="2" s="1"/>
  <c r="AS60" i="2" a="1"/>
  <c r="AS60" i="2" s="1"/>
  <c r="BG60" i="2" a="1"/>
  <c r="BG60" i="2" s="1"/>
  <c r="BU60" i="2" a="1"/>
  <c r="BU60" i="2" s="1"/>
  <c r="CI60" i="2" a="1"/>
  <c r="CI60" i="2" s="1"/>
  <c r="CW60" i="2" a="1"/>
  <c r="CW60" i="2" s="1"/>
  <c r="DK60" i="2" a="1"/>
  <c r="DK60" i="2" s="1"/>
  <c r="AS61" i="2" a="1"/>
  <c r="AS61" i="2" s="1"/>
  <c r="BG61" i="2" a="1"/>
  <c r="BG61" i="2" s="1"/>
  <c r="BU61" i="2" a="1"/>
  <c r="BU61" i="2" s="1"/>
  <c r="CI61" i="2" a="1"/>
  <c r="CI61" i="2"/>
  <c r="CW61" i="2" a="1"/>
  <c r="CW61" i="2" s="1"/>
  <c r="DK61" i="2" a="1"/>
  <c r="DK61" i="2" s="1"/>
  <c r="AS62" i="2" a="1"/>
  <c r="AS62" i="2" s="1"/>
  <c r="BG62" i="2" a="1"/>
  <c r="BG62" i="2" s="1"/>
  <c r="BU62" i="2" a="1"/>
  <c r="BU62" i="2" s="1"/>
  <c r="CI62" i="2" a="1"/>
  <c r="CI62" i="2" s="1"/>
  <c r="CW62" i="2" a="1"/>
  <c r="CW62" i="2" s="1"/>
  <c r="DK62" i="2" a="1"/>
  <c r="DK62" i="2" s="1"/>
  <c r="AS63" i="2" a="1"/>
  <c r="AS63" i="2" s="1"/>
  <c r="BG63" i="2" a="1"/>
  <c r="BG63" i="2" s="1"/>
  <c r="BU63" i="2" a="1"/>
  <c r="BU63" i="2" s="1"/>
  <c r="CI63" i="2" a="1"/>
  <c r="CI63" i="2" s="1"/>
  <c r="CW63" i="2" a="1"/>
  <c r="CW63" i="2" s="1"/>
  <c r="DK63" i="2" a="1"/>
  <c r="DK63" i="2" s="1"/>
  <c r="AS64" i="2" a="1"/>
  <c r="AS64" i="2" s="1"/>
  <c r="BG64" i="2" a="1"/>
  <c r="BG64" i="2" s="1"/>
  <c r="BU64" i="2" a="1"/>
  <c r="BU64" i="2" s="1"/>
  <c r="CI64" i="2" a="1"/>
  <c r="CI64" i="2" s="1"/>
  <c r="CW64" i="2" a="1"/>
  <c r="CW64" i="2" s="1"/>
  <c r="DK64" i="2" a="1"/>
  <c r="DK64" i="2" s="1"/>
  <c r="AG65" i="2" a="1"/>
  <c r="AG65" i="2" s="1"/>
  <c r="AH65" i="2" a="1"/>
  <c r="AH65" i="2" s="1"/>
  <c r="AI65" i="2" a="1"/>
  <c r="AI65" i="2" s="1"/>
  <c r="AJ65" i="2" a="1"/>
  <c r="AJ65" i="2" s="1"/>
  <c r="AK65" i="2" a="1"/>
  <c r="AK65" i="2" s="1"/>
  <c r="AL65" i="2" a="1"/>
  <c r="AL65" i="2" s="1"/>
  <c r="AM65" i="2" a="1"/>
  <c r="AM65" i="2" s="1"/>
  <c r="AN65" i="2" a="1"/>
  <c r="AN65" i="2" s="1"/>
  <c r="AO65" i="2" a="1"/>
  <c r="AO65" i="2" s="1"/>
  <c r="AP65" i="2" a="1"/>
  <c r="AP65" i="2" s="1"/>
  <c r="AQ65" i="2" a="1"/>
  <c r="AQ65" i="2" s="1"/>
  <c r="AR65" i="2" a="1"/>
  <c r="AR65" i="2" s="1"/>
  <c r="AU65" i="2" a="1"/>
  <c r="AU65" i="2" s="1"/>
  <c r="AV65" i="2" a="1"/>
  <c r="AV65" i="2" s="1"/>
  <c r="AW65" i="2" a="1"/>
  <c r="AW65" i="2" s="1"/>
  <c r="AX65" i="2" a="1"/>
  <c r="AX65" i="2" s="1"/>
  <c r="AY65" i="2" a="1"/>
  <c r="AY65" i="2" s="1"/>
  <c r="AZ65" i="2" a="1"/>
  <c r="AZ65" i="2" s="1"/>
  <c r="BA65" i="2" a="1"/>
  <c r="BA65" i="2" s="1"/>
  <c r="BB65" i="2" a="1"/>
  <c r="BB65" i="2" s="1"/>
  <c r="BC65" i="2" a="1"/>
  <c r="BC65" i="2" s="1"/>
  <c r="BD65" i="2" a="1"/>
  <c r="BD65" i="2" s="1"/>
  <c r="BE65" i="2" a="1"/>
  <c r="BE65" i="2" s="1"/>
  <c r="BF65" i="2" a="1"/>
  <c r="BF65" i="2" s="1"/>
  <c r="BI65" i="2" a="1"/>
  <c r="BI65" i="2" s="1"/>
  <c r="BJ65" i="2" a="1"/>
  <c r="BJ65" i="2" s="1"/>
  <c r="BK65" i="2" a="1"/>
  <c r="BK65" i="2" s="1"/>
  <c r="BL65" i="2" a="1"/>
  <c r="BL65" i="2" s="1"/>
  <c r="BM65" i="2" a="1"/>
  <c r="BM65" i="2" s="1"/>
  <c r="BN65" i="2" a="1"/>
  <c r="BN65" i="2" s="1"/>
  <c r="BO65" i="2" a="1"/>
  <c r="BO65" i="2" s="1"/>
  <c r="BP65" i="2" a="1"/>
  <c r="BP65" i="2" s="1"/>
  <c r="BQ65" i="2" a="1"/>
  <c r="BQ65" i="2" s="1"/>
  <c r="BR65" i="2" a="1"/>
  <c r="BR65" i="2" s="1"/>
  <c r="BS65" i="2" a="1"/>
  <c r="BS65" i="2" s="1"/>
  <c r="BT65" i="2" a="1"/>
  <c r="BT65" i="2" s="1"/>
  <c r="BW65" i="2" a="1"/>
  <c r="BW65" i="2" s="1"/>
  <c r="BX65" i="2" a="1"/>
  <c r="BX65" i="2" s="1"/>
  <c r="BY65" i="2" a="1"/>
  <c r="BY65" i="2" s="1"/>
  <c r="BZ65" i="2" a="1"/>
  <c r="BZ65" i="2" s="1"/>
  <c r="CA65" i="2" a="1"/>
  <c r="CA65" i="2" s="1"/>
  <c r="CB65" i="2" a="1"/>
  <c r="CB65" i="2" s="1"/>
  <c r="CC65" i="2" a="1"/>
  <c r="CC65" i="2" s="1"/>
  <c r="CD65" i="2" a="1"/>
  <c r="CD65" i="2" s="1"/>
  <c r="CE65" i="2" a="1"/>
  <c r="CE65" i="2" s="1"/>
  <c r="CF65" i="2" a="1"/>
  <c r="CF65" i="2" s="1"/>
  <c r="CG65" i="2" a="1"/>
  <c r="CG65" i="2" s="1"/>
  <c r="CH65" i="2" a="1"/>
  <c r="CH65" i="2" s="1"/>
  <c r="CK65" i="2" a="1"/>
  <c r="CK65" i="2" s="1"/>
  <c r="CL65" i="2" a="1"/>
  <c r="CL65" i="2" s="1"/>
  <c r="CM65" i="2" a="1"/>
  <c r="CM65" i="2" s="1"/>
  <c r="CN65" i="2" a="1"/>
  <c r="CN65" i="2" s="1"/>
  <c r="CO65" i="2" a="1"/>
  <c r="CO65" i="2" s="1"/>
  <c r="CP65" i="2" a="1"/>
  <c r="CP65" i="2" s="1"/>
  <c r="CQ65" i="2" a="1"/>
  <c r="CQ65" i="2" s="1"/>
  <c r="CR65" i="2" a="1"/>
  <c r="CR65" i="2" s="1"/>
  <c r="CS65" i="2" a="1"/>
  <c r="CS65" i="2" s="1"/>
  <c r="CT65" i="2" a="1"/>
  <c r="CT65" i="2" s="1"/>
  <c r="CU65" i="2" a="1"/>
  <c r="CU65" i="2" s="1"/>
  <c r="CV65" i="2" a="1"/>
  <c r="CV65" i="2" s="1"/>
  <c r="CY65" i="2" a="1"/>
  <c r="CY65" i="2" s="1"/>
  <c r="CZ65" i="2" a="1"/>
  <c r="CZ65" i="2" s="1"/>
  <c r="DA65" i="2" a="1"/>
  <c r="DA65" i="2" s="1"/>
  <c r="DB65" i="2" a="1"/>
  <c r="DB65" i="2" s="1"/>
  <c r="DC65" i="2" a="1"/>
  <c r="DC65" i="2" s="1"/>
  <c r="DD65" i="2" a="1"/>
  <c r="DD65" i="2" s="1"/>
  <c r="DE65" i="2" a="1"/>
  <c r="DE65" i="2" s="1"/>
  <c r="DF65" i="2" a="1"/>
  <c r="DF65" i="2" s="1"/>
  <c r="DG65" i="2" a="1"/>
  <c r="DG65" i="2" s="1"/>
  <c r="DH65" i="2" a="1"/>
  <c r="DH65" i="2" s="1"/>
  <c r="DI65" i="2" a="1"/>
  <c r="DI65" i="2" s="1"/>
  <c r="DJ65" i="2" a="1"/>
  <c r="DJ65" i="2" s="1"/>
  <c r="AE11" i="2" a="1"/>
  <c r="AE11" i="2" s="1"/>
  <c r="AE12" i="2" a="1"/>
  <c r="AE12" i="2" s="1"/>
  <c r="AE13" i="2" a="1"/>
  <c r="AE13" i="2" s="1"/>
  <c r="AE14" i="2" a="1"/>
  <c r="AE14" i="2" s="1"/>
  <c r="AE15" i="2" a="1"/>
  <c r="AE15" i="2" s="1"/>
  <c r="AE16" i="2" a="1"/>
  <c r="AE16" i="2" s="1"/>
  <c r="AE17" i="2" a="1"/>
  <c r="AE17" i="2" s="1"/>
  <c r="AE18" i="2" a="1"/>
  <c r="AE18" i="2" s="1"/>
  <c r="AE19" i="2" a="1"/>
  <c r="AE19" i="2" s="1"/>
  <c r="AE20" i="2" a="1"/>
  <c r="AE20" i="2" s="1"/>
  <c r="AE21" i="2" a="1"/>
  <c r="AE21" i="2" s="1"/>
  <c r="AE22" i="2" a="1"/>
  <c r="AE22" i="2" s="1"/>
  <c r="AE23" i="2" a="1"/>
  <c r="AE23" i="2" s="1"/>
  <c r="AE24" i="2" a="1"/>
  <c r="AE24" i="2" s="1"/>
  <c r="AE25" i="2" a="1"/>
  <c r="AE25" i="2" s="1"/>
  <c r="AE26" i="2" a="1"/>
  <c r="AE26" i="2" s="1"/>
  <c r="S27" i="2" a="1"/>
  <c r="S27" i="2" s="1"/>
  <c r="T27" i="2" a="1"/>
  <c r="T27" i="2" s="1"/>
  <c r="U27" i="2" a="1"/>
  <c r="U27" i="2" s="1"/>
  <c r="V27" i="2" a="1"/>
  <c r="V27" i="2" s="1"/>
  <c r="W27" i="2" a="1"/>
  <c r="W27" i="2" s="1"/>
  <c r="X27" i="2" a="1"/>
  <c r="X27" i="2" s="1"/>
  <c r="Y27" i="2" a="1"/>
  <c r="Y27" i="2" s="1"/>
  <c r="Z27" i="2" a="1"/>
  <c r="Z27" i="2" s="1"/>
  <c r="AA27" i="2" a="1"/>
  <c r="AA27" i="2" s="1"/>
  <c r="AB27" i="2" a="1"/>
  <c r="AB27" i="2" s="1"/>
  <c r="AC27" i="2" a="1"/>
  <c r="AC27" i="2" s="1"/>
  <c r="AD27" i="2" a="1"/>
  <c r="AD27" i="2" s="1"/>
  <c r="AE30" i="2" a="1"/>
  <c r="AE30" i="2" s="1"/>
  <c r="AE46" i="2" s="1" a="1"/>
  <c r="AE46" i="2" s="1"/>
  <c r="AE31" i="2" a="1"/>
  <c r="AE31" i="2" s="1"/>
  <c r="AE32" i="2" a="1"/>
  <c r="AE32" i="2" s="1"/>
  <c r="AE33" i="2" a="1"/>
  <c r="AE33" i="2" s="1"/>
  <c r="AE34" i="2" a="1"/>
  <c r="AE34" i="2" s="1"/>
  <c r="AE35" i="2" a="1"/>
  <c r="AE35" i="2" s="1"/>
  <c r="AE36" i="2" a="1"/>
  <c r="AE36" i="2" s="1"/>
  <c r="AE37" i="2" a="1"/>
  <c r="AE37" i="2" s="1"/>
  <c r="AE38" i="2" a="1"/>
  <c r="AE38" i="2" s="1"/>
  <c r="AE39" i="2" a="1"/>
  <c r="AE39" i="2" s="1"/>
  <c r="AE40" i="2" a="1"/>
  <c r="AE40" i="2" s="1"/>
  <c r="AE41" i="2" a="1"/>
  <c r="AE41" i="2" s="1"/>
  <c r="AE42" i="2" a="1"/>
  <c r="AE42" i="2" s="1"/>
  <c r="AE43" i="2" a="1"/>
  <c r="AE43" i="2" s="1"/>
  <c r="AE44" i="2" a="1"/>
  <c r="AE44" i="2" s="1"/>
  <c r="AE45" i="2" a="1"/>
  <c r="AE45" i="2" s="1"/>
  <c r="S46" i="2" a="1"/>
  <c r="S46" i="2" s="1"/>
  <c r="T46" i="2" a="1"/>
  <c r="T46" i="2" s="1"/>
  <c r="U46" i="2" a="1"/>
  <c r="U46" i="2" s="1"/>
  <c r="V46" i="2" a="1"/>
  <c r="V46" i="2" s="1"/>
  <c r="W46" i="2" a="1"/>
  <c r="W46" i="2" s="1"/>
  <c r="X46" i="2" a="1"/>
  <c r="X46" i="2" s="1"/>
  <c r="Y46" i="2" a="1"/>
  <c r="Y46" i="2" s="1"/>
  <c r="Z46" i="2" a="1"/>
  <c r="Z46" i="2" s="1"/>
  <c r="AA46" i="2" a="1"/>
  <c r="AA46" i="2" s="1"/>
  <c r="AB46" i="2" a="1"/>
  <c r="AB46" i="2" s="1"/>
  <c r="AC46" i="2" a="1"/>
  <c r="AC46" i="2" s="1"/>
  <c r="AD46" i="2" a="1"/>
  <c r="AD46" i="2" s="1"/>
  <c r="AE49" i="2" a="1"/>
  <c r="AE49" i="2" s="1"/>
  <c r="AE65" i="2" s="1" a="1"/>
  <c r="AE65" i="2" s="1"/>
  <c r="AE50" i="2" a="1"/>
  <c r="AE50" i="2" s="1"/>
  <c r="AE51" i="2" a="1"/>
  <c r="AE51" i="2" s="1"/>
  <c r="AE52" i="2" a="1"/>
  <c r="AE52" i="2" s="1"/>
  <c r="AE53" i="2" a="1"/>
  <c r="AE53" i="2" s="1"/>
  <c r="AE54" i="2" a="1"/>
  <c r="AE54" i="2" s="1"/>
  <c r="AE55" i="2" a="1"/>
  <c r="AE55" i="2" s="1"/>
  <c r="AE56" i="2" a="1"/>
  <c r="AE56" i="2" s="1"/>
  <c r="AE57" i="2" a="1"/>
  <c r="AE57" i="2" s="1"/>
  <c r="AE58" i="2" a="1"/>
  <c r="AE58" i="2" s="1"/>
  <c r="AE59" i="2" a="1"/>
  <c r="AE59" i="2" s="1"/>
  <c r="AE60" i="2" a="1"/>
  <c r="AE60" i="2" s="1"/>
  <c r="AE61" i="2" a="1"/>
  <c r="AE61" i="2" s="1"/>
  <c r="AE62" i="2" a="1"/>
  <c r="AE62" i="2" s="1"/>
  <c r="AE63" i="2" a="1"/>
  <c r="AE63" i="2" s="1"/>
  <c r="AE64" i="2" a="1"/>
  <c r="AE64" i="2" s="1"/>
  <c r="S65" i="2" a="1"/>
  <c r="S65" i="2" s="1"/>
  <c r="T65" i="2" a="1"/>
  <c r="T65" i="2" s="1"/>
  <c r="U65" i="2" a="1"/>
  <c r="U65" i="2" s="1"/>
  <c r="V65" i="2" a="1"/>
  <c r="V65" i="2" s="1"/>
  <c r="W65" i="2" a="1"/>
  <c r="W65" i="2" s="1"/>
  <c r="X65" i="2" a="1"/>
  <c r="X65" i="2" s="1"/>
  <c r="Y65" i="2" a="1"/>
  <c r="Y65" i="2" s="1"/>
  <c r="Z65" i="2" a="1"/>
  <c r="Z65" i="2" s="1"/>
  <c r="AA65" i="2" a="1"/>
  <c r="AA65" i="2" s="1"/>
  <c r="AB65" i="2" a="1"/>
  <c r="AB65" i="2" s="1"/>
  <c r="AC65" i="2" a="1"/>
  <c r="AC65" i="2" s="1"/>
  <c r="AD65" i="2" a="1"/>
  <c r="AD65" i="2" s="1"/>
  <c r="F65" i="2" a="1"/>
  <c r="F65" i="2" s="1"/>
  <c r="G65" i="2" a="1"/>
  <c r="G65" i="2" s="1"/>
  <c r="H65" i="2" a="1"/>
  <c r="H65" i="2" s="1"/>
  <c r="I65" i="2" a="1"/>
  <c r="I65" i="2" s="1"/>
  <c r="J65" i="2" a="1"/>
  <c r="J65" i="2" s="1"/>
  <c r="K65" i="2" a="1"/>
  <c r="K65" i="2" s="1"/>
  <c r="L65" i="2" a="1"/>
  <c r="L65" i="2" s="1"/>
  <c r="M65" i="2" a="1"/>
  <c r="M65" i="2" s="1"/>
  <c r="N65" i="2" a="1"/>
  <c r="N65" i="2" s="1"/>
  <c r="O65" i="2" a="1"/>
  <c r="O65" i="2" s="1"/>
  <c r="P65" i="2" a="1"/>
  <c r="P65" i="2" s="1"/>
  <c r="Q65" i="2" a="1"/>
  <c r="Q65" i="2" s="1"/>
  <c r="E65" i="2" a="1"/>
  <c r="E65" i="2" s="1"/>
  <c r="Q64" i="2" a="1"/>
  <c r="Q64" i="2" s="1"/>
  <c r="Q63" i="2" a="1"/>
  <c r="Q63" i="2" s="1"/>
  <c r="Q62" i="2" a="1"/>
  <c r="Q62" i="2" s="1"/>
  <c r="Q61" i="2" a="1"/>
  <c r="Q61" i="2" s="1"/>
  <c r="Q60" i="2" a="1"/>
  <c r="Q60" i="2" s="1"/>
  <c r="Q59" i="2" a="1"/>
  <c r="Q59" i="2" s="1"/>
  <c r="Q58" i="2" a="1"/>
  <c r="Q58" i="2" s="1"/>
  <c r="Q57" i="2" a="1"/>
  <c r="Q57" i="2" s="1"/>
  <c r="Q56" i="2" a="1"/>
  <c r="Q56" i="2" s="1"/>
  <c r="Q55" i="2" a="1"/>
  <c r="Q55" i="2" s="1"/>
  <c r="Q54" i="2" a="1"/>
  <c r="Q54" i="2" s="1"/>
  <c r="Q53" i="2" a="1"/>
  <c r="Q53" i="2" s="1"/>
  <c r="Q52" i="2" a="1"/>
  <c r="Q52" i="2" s="1"/>
  <c r="Q51" i="2" a="1"/>
  <c r="Q51" i="2" s="1"/>
  <c r="Q50" i="2" a="1"/>
  <c r="Q50" i="2" s="1"/>
  <c r="Q49" i="2" a="1"/>
  <c r="Q49" i="2" s="1"/>
  <c r="F46" i="2" a="1"/>
  <c r="F46" i="2" s="1"/>
  <c r="G46" i="2" a="1"/>
  <c r="G46" i="2" s="1"/>
  <c r="H46" i="2" a="1"/>
  <c r="H46" i="2" s="1"/>
  <c r="I46" i="2" a="1"/>
  <c r="I46" i="2" s="1"/>
  <c r="J46" i="2" a="1"/>
  <c r="J46" i="2" s="1"/>
  <c r="K46" i="2" a="1"/>
  <c r="K46" i="2" s="1"/>
  <c r="L46" i="2" a="1"/>
  <c r="L46" i="2" s="1"/>
  <c r="M46" i="2" a="1"/>
  <c r="M46" i="2" s="1"/>
  <c r="N46" i="2" a="1"/>
  <c r="N46" i="2" s="1"/>
  <c r="O46" i="2" a="1"/>
  <c r="O46" i="2" s="1"/>
  <c r="P46" i="2" a="1"/>
  <c r="P46" i="2" s="1"/>
  <c r="Q46" i="2" a="1"/>
  <c r="Q46" i="2" s="1"/>
  <c r="E46" i="2" a="1"/>
  <c r="E46" i="2" s="1"/>
  <c r="Q45" i="2" a="1"/>
  <c r="Q45" i="2" s="1"/>
  <c r="Q44" i="2" a="1"/>
  <c r="Q44" i="2" s="1"/>
  <c r="Q43" i="2" a="1"/>
  <c r="Q43" i="2" s="1"/>
  <c r="Q42" i="2" a="1"/>
  <c r="Q42" i="2" s="1"/>
  <c r="Q41" i="2" a="1"/>
  <c r="Q41" i="2" s="1"/>
  <c r="Q40" i="2" a="1"/>
  <c r="Q40" i="2" s="1"/>
  <c r="Q39" i="2" a="1"/>
  <c r="Q39" i="2" s="1"/>
  <c r="Q38" i="2" a="1"/>
  <c r="Q38" i="2" s="1"/>
  <c r="Q37" i="2" a="1"/>
  <c r="Q37" i="2" s="1"/>
  <c r="Q36" i="2" a="1"/>
  <c r="Q36" i="2" s="1"/>
  <c r="Q35" i="2" a="1"/>
  <c r="Q35" i="2" s="1"/>
  <c r="Q34" i="2" a="1"/>
  <c r="Q34" i="2" s="1"/>
  <c r="Q33" i="2" a="1"/>
  <c r="Q33" i="2" s="1"/>
  <c r="Q32" i="2" a="1"/>
  <c r="Q32" i="2" s="1"/>
  <c r="Q31" i="2" a="1"/>
  <c r="Q31" i="2" s="1"/>
  <c r="Q30" i="2" a="1"/>
  <c r="Q30" i="2" s="1"/>
  <c r="F27" i="2" a="1"/>
  <c r="F27" i="2" s="1"/>
  <c r="G27" i="2" a="1"/>
  <c r="G27" i="2" s="1"/>
  <c r="H27" i="2" a="1"/>
  <c r="H27" i="2" s="1"/>
  <c r="I27" i="2" a="1"/>
  <c r="I27" i="2" s="1"/>
  <c r="J27" i="2" a="1"/>
  <c r="J27" i="2" s="1"/>
  <c r="K27" i="2" a="1"/>
  <c r="K27" i="2" s="1"/>
  <c r="L27" i="2" a="1"/>
  <c r="L27" i="2" s="1"/>
  <c r="M27" i="2" a="1"/>
  <c r="M27" i="2" s="1"/>
  <c r="N27" i="2" a="1"/>
  <c r="N27" i="2" s="1"/>
  <c r="O27" i="2" a="1"/>
  <c r="O27" i="2" s="1"/>
  <c r="P27" i="2" a="1"/>
  <c r="P27" i="2" s="1"/>
  <c r="Q27" i="2" a="1"/>
  <c r="Q27" i="2" s="1"/>
  <c r="E27" i="2" a="1"/>
  <c r="E27" i="2" s="1"/>
  <c r="E6" i="2"/>
  <c r="S6" i="2" s="1"/>
  <c r="Q26" i="2" a="1"/>
  <c r="Q26" i="2" s="1"/>
  <c r="Q25" i="2" a="1"/>
  <c r="Q25" i="2" s="1"/>
  <c r="Q24" i="2" a="1"/>
  <c r="Q24" i="2" s="1"/>
  <c r="Q23" i="2" a="1"/>
  <c r="Q23" i="2" s="1"/>
  <c r="Q22" i="2" a="1"/>
  <c r="Q22" i="2" s="1"/>
  <c r="Q21" i="2" a="1"/>
  <c r="Q21" i="2" s="1"/>
  <c r="Q20" i="2" a="1"/>
  <c r="Q20" i="2" s="1"/>
  <c r="Q19" i="2" a="1"/>
  <c r="Q19" i="2" s="1"/>
  <c r="Q18" i="2" a="1"/>
  <c r="Q18" i="2" s="1"/>
  <c r="Q17" i="2" a="1"/>
  <c r="Q17" i="2" s="1"/>
  <c r="Q16" i="2" a="1"/>
  <c r="Q16" i="2" s="1"/>
  <c r="Q15" i="2" a="1"/>
  <c r="Q15" i="2" s="1"/>
  <c r="Q14" i="2" a="1"/>
  <c r="Q14" i="2" s="1"/>
  <c r="Q13" i="2" a="1"/>
  <c r="Q13" i="2" s="1"/>
  <c r="Q12" i="2" a="1"/>
  <c r="Q12" i="2" s="1"/>
  <c r="Q11" i="2" a="1"/>
  <c r="Q11" i="2" s="1"/>
  <c r="L32" i="4" l="1" a="1"/>
  <c r="L32" i="4" s="1"/>
  <c r="L17" i="4" a="1"/>
  <c r="L17" i="4" s="1"/>
  <c r="L41" i="4" a="1"/>
  <c r="L41" i="4" s="1"/>
  <c r="L14" i="4" a="1"/>
  <c r="L14" i="4" s="1"/>
  <c r="R14" i="4" s="1"/>
  <c r="L15" i="4" a="1"/>
  <c r="L15" i="4" s="1"/>
  <c r="R15" i="4" s="1"/>
  <c r="L21" i="4" a="1"/>
  <c r="L21" i="4" s="1"/>
  <c r="R21" i="4" s="1"/>
  <c r="L23" i="4" a="1"/>
  <c r="L23" i="4" s="1"/>
  <c r="R23" i="4" s="1"/>
  <c r="L26" i="4" a="1"/>
  <c r="L26" i="4" s="1"/>
  <c r="R26" i="4" s="1"/>
  <c r="L30" i="4" a="1"/>
  <c r="L30" i="4" s="1"/>
  <c r="R30" i="4" s="1"/>
  <c r="L36" i="4" a="1"/>
  <c r="L36" i="4" s="1"/>
  <c r="R36" i="4" s="1"/>
  <c r="L37" i="4" a="1"/>
  <c r="L37" i="4" s="1"/>
  <c r="R37" i="4" s="1"/>
  <c r="L40" i="4" a="1"/>
  <c r="L40" i="4" s="1"/>
  <c r="R40" i="4" s="1"/>
  <c r="L16" i="4" a="1"/>
  <c r="L16" i="4" s="1"/>
  <c r="R16" i="4" s="1"/>
  <c r="L20" i="4" a="1"/>
  <c r="L20" i="4" s="1"/>
  <c r="R20" i="4" s="1"/>
  <c r="L22" i="4" a="1"/>
  <c r="L22" i="4" s="1"/>
  <c r="R22" i="4" s="1"/>
  <c r="L24" i="4" a="1"/>
  <c r="L24" i="4" s="1"/>
  <c r="R24" i="4" s="1"/>
  <c r="L27" i="4" a="1"/>
  <c r="L27" i="4" s="1"/>
  <c r="R27" i="4" s="1"/>
  <c r="L28" i="4" a="1"/>
  <c r="L28" i="4" s="1"/>
  <c r="R28" i="4" s="1"/>
  <c r="L31" i="4" a="1"/>
  <c r="L31" i="4" s="1"/>
  <c r="R31" i="4" s="1"/>
  <c r="L35" i="4" a="1"/>
  <c r="L35" i="4" s="1"/>
  <c r="R35" i="4" s="1"/>
  <c r="L38" i="4" a="1"/>
  <c r="L38" i="4" s="1"/>
  <c r="R38" i="4" s="1"/>
  <c r="L25" i="4" a="1"/>
  <c r="L25" i="4" s="1"/>
  <c r="R25" i="4" s="1"/>
  <c r="L29" i="4" a="1"/>
  <c r="L29" i="4" s="1"/>
  <c r="R29" i="4" s="1"/>
  <c r="L39" i="4" a="1"/>
  <c r="L39" i="4" s="1"/>
  <c r="R39" i="4" s="1"/>
  <c r="K13" i="4" a="1"/>
  <c r="K13" i="4" s="1"/>
  <c r="K52" i="4" a="1"/>
  <c r="K52" i="4" s="1"/>
  <c r="K53" i="4" a="1"/>
  <c r="K53" i="4" s="1"/>
  <c r="K54" i="4" a="1"/>
  <c r="K54" i="4" s="1"/>
  <c r="K55" i="4" a="1"/>
  <c r="K55" i="4" s="1"/>
  <c r="K56" i="4" a="1"/>
  <c r="K56" i="4" s="1"/>
  <c r="K57" i="4" a="1"/>
  <c r="K57" i="4" s="1"/>
  <c r="K58" i="4" a="1"/>
  <c r="K58" i="4" s="1"/>
  <c r="K59" i="4" a="1"/>
  <c r="K59" i="4" s="1"/>
  <c r="K60" i="4" a="1"/>
  <c r="K60" i="4" s="1"/>
  <c r="K61" i="4" a="1"/>
  <c r="K61" i="4" s="1"/>
  <c r="K62" i="4" a="1"/>
  <c r="K62" i="4" s="1"/>
  <c r="K63" i="4" a="1"/>
  <c r="K63" i="4" s="1"/>
  <c r="K64" i="4" a="1"/>
  <c r="K64" i="4" s="1"/>
  <c r="K65" i="4" a="1"/>
  <c r="K65" i="4" s="1"/>
  <c r="K66" i="4" a="1"/>
  <c r="K66" i="4" s="1"/>
  <c r="K67" i="4" a="1"/>
  <c r="K67" i="4" s="1"/>
  <c r="K68" i="4" a="1"/>
  <c r="K68" i="4" s="1"/>
  <c r="K69" i="4" a="1"/>
  <c r="K69" i="4" s="1"/>
  <c r="K16" i="4" a="1"/>
  <c r="K16" i="4" s="1"/>
  <c r="P16" i="4" s="1"/>
  <c r="K17" i="4" a="1"/>
  <c r="K17" i="4" s="1"/>
  <c r="K18" i="4" a="1"/>
  <c r="K18" i="4" s="1"/>
  <c r="K19" i="4" a="1"/>
  <c r="K19" i="4" s="1"/>
  <c r="K20" i="4" a="1"/>
  <c r="K20" i="4" s="1"/>
  <c r="P20" i="4" s="1"/>
  <c r="K21" i="4" a="1"/>
  <c r="K21" i="4" s="1"/>
  <c r="P21" i="4" s="1"/>
  <c r="K22" i="4" a="1"/>
  <c r="K22" i="4" s="1"/>
  <c r="P22" i="4" s="1"/>
  <c r="K23" i="4" a="1"/>
  <c r="K23" i="4" s="1"/>
  <c r="P23" i="4" s="1"/>
  <c r="K24" i="4" a="1"/>
  <c r="K24" i="4" s="1"/>
  <c r="P24" i="4" s="1"/>
  <c r="K25" i="4" a="1"/>
  <c r="K25" i="4" s="1"/>
  <c r="P25" i="4" s="1"/>
  <c r="K26" i="4" a="1"/>
  <c r="K26" i="4" s="1"/>
  <c r="P26" i="4" s="1"/>
  <c r="K27" i="4" a="1"/>
  <c r="K27" i="4" s="1"/>
  <c r="P27" i="4" s="1"/>
  <c r="K28" i="4" a="1"/>
  <c r="K28" i="4" s="1"/>
  <c r="P28" i="4" s="1"/>
  <c r="K29" i="4" a="1"/>
  <c r="K29" i="4" s="1"/>
  <c r="P29" i="4" s="1"/>
  <c r="K30" i="4" a="1"/>
  <c r="K30" i="4" s="1"/>
  <c r="P30" i="4" s="1"/>
  <c r="K31" i="4" a="1"/>
  <c r="K31" i="4" s="1"/>
  <c r="P31" i="4" s="1"/>
  <c r="K33" i="4" a="1"/>
  <c r="K33" i="4" s="1"/>
  <c r="K34" i="4" a="1"/>
  <c r="K34" i="4" s="1"/>
  <c r="K35" i="4" a="1"/>
  <c r="K35" i="4" s="1"/>
  <c r="P35" i="4" s="1"/>
  <c r="K36" i="4" a="1"/>
  <c r="K36" i="4" s="1"/>
  <c r="P36" i="4" s="1"/>
  <c r="K37" i="4" a="1"/>
  <c r="K37" i="4" s="1"/>
  <c r="P37" i="4" s="1"/>
  <c r="K39" i="4" a="1"/>
  <c r="K39" i="4" s="1"/>
  <c r="P39" i="4" s="1"/>
  <c r="K41" i="4" a="1"/>
  <c r="K41" i="4" s="1"/>
  <c r="K43" i="4" a="1"/>
  <c r="K43" i="4" s="1"/>
  <c r="K45" i="4" a="1"/>
  <c r="K45" i="4" s="1"/>
  <c r="K46" i="4" a="1"/>
  <c r="K46" i="4" s="1"/>
  <c r="K48" i="4" a="1"/>
  <c r="K48" i="4" s="1"/>
  <c r="K50" i="4" a="1"/>
  <c r="K50" i="4" s="1"/>
  <c r="K32" i="4" a="1"/>
  <c r="K32" i="4" s="1"/>
  <c r="K38" i="4" a="1"/>
  <c r="K38" i="4" s="1"/>
  <c r="P38" i="4" s="1"/>
  <c r="K40" i="4" a="1"/>
  <c r="K40" i="4" s="1"/>
  <c r="P40" i="4" s="1"/>
  <c r="K42" i="4" a="1"/>
  <c r="K42" i="4" s="1"/>
  <c r="K44" i="4" a="1"/>
  <c r="K44" i="4" s="1"/>
  <c r="K47" i="4" a="1"/>
  <c r="K47" i="4" s="1"/>
  <c r="K49" i="4" a="1"/>
  <c r="K49" i="4" s="1"/>
  <c r="K51" i="4" a="1"/>
  <c r="K51" i="4" s="1"/>
  <c r="K14" i="4" a="1"/>
  <c r="K14" i="4" s="1"/>
  <c r="P14" i="4" s="1"/>
  <c r="K15" i="4" a="1"/>
  <c r="K15" i="4" s="1"/>
  <c r="P15" i="4" s="1"/>
  <c r="C14" i="4" a="1"/>
  <c r="C14" i="4" s="1"/>
  <c r="J13" i="4" a="1"/>
  <c r="J13" i="4" s="1"/>
  <c r="E21" i="5"/>
  <c r="E10" i="5"/>
  <c r="E13" i="5"/>
  <c r="E14" i="5" s="1"/>
  <c r="AE27" i="2" a="1"/>
  <c r="AE27" i="2" s="1"/>
  <c r="AE8" i="2" s="1"/>
  <c r="AE7" i="2" s="1" a="1"/>
  <c r="AE7" i="2" s="1"/>
  <c r="EM46" i="2" a="1"/>
  <c r="EM46" i="2" s="1"/>
  <c r="EM8" i="2" s="1"/>
  <c r="EM7" i="2" s="1" a="1"/>
  <c r="EM7" i="2" s="1"/>
  <c r="V48" i="2" a="1"/>
  <c r="V48" i="2" s="1"/>
  <c r="S48" i="2" a="1"/>
  <c r="S48" i="2" s="1"/>
  <c r="AE29" i="2" a="1"/>
  <c r="AE29" i="2" s="1"/>
  <c r="AB29" i="2" a="1"/>
  <c r="AB29" i="2" s="1"/>
  <c r="Y29" i="2" a="1"/>
  <c r="Y29" i="2" s="1"/>
  <c r="X29" i="2" a="1"/>
  <c r="X29" i="2" s="1"/>
  <c r="U29" i="2" a="1"/>
  <c r="U29" i="2" s="1"/>
  <c r="AA10" i="2" a="1"/>
  <c r="AA10" i="2" s="1"/>
  <c r="Y10" i="2" a="1"/>
  <c r="Y10" i="2" s="1"/>
  <c r="X10" i="2" a="1"/>
  <c r="X10" i="2" s="1"/>
  <c r="U10" i="2" a="1"/>
  <c r="U10" i="2" s="1"/>
  <c r="S10" i="2" a="1"/>
  <c r="S10" i="2" s="1"/>
  <c r="AE48" i="2" a="1"/>
  <c r="AE48" i="2" s="1"/>
  <c r="AC48" i="2" a="1"/>
  <c r="AC48" i="2" s="1"/>
  <c r="Z48" i="2" a="1"/>
  <c r="Z48" i="2" s="1"/>
  <c r="X48" i="2" a="1"/>
  <c r="X48" i="2" s="1"/>
  <c r="T48" i="2" a="1"/>
  <c r="T48" i="2" s="1"/>
  <c r="AG6" i="2"/>
  <c r="AB48" i="2" a="1"/>
  <c r="AB48" i="2" s="1"/>
  <c r="Y48" i="2" a="1"/>
  <c r="Y48" i="2" s="1"/>
  <c r="U48" i="2" a="1"/>
  <c r="U48" i="2" s="1"/>
  <c r="AC29" i="2" a="1"/>
  <c r="AC29" i="2" s="1"/>
  <c r="Z29" i="2" a="1"/>
  <c r="Z29" i="2" s="1"/>
  <c r="V29" i="2" a="1"/>
  <c r="V29" i="2" s="1"/>
  <c r="AE10" i="2" a="1"/>
  <c r="AE10" i="2" s="1"/>
  <c r="AD10" i="2" a="1"/>
  <c r="AD10" i="2" s="1"/>
  <c r="AC10" i="2" a="1"/>
  <c r="AC10" i="2" s="1"/>
  <c r="AB10" i="2" a="1"/>
  <c r="AB10" i="2" s="1"/>
  <c r="AD48" i="2" a="1"/>
  <c r="AD48" i="2" s="1"/>
  <c r="AA48" i="2" a="1"/>
  <c r="AA48" i="2" s="1"/>
  <c r="W48" i="2" a="1"/>
  <c r="W48" i="2" s="1"/>
  <c r="AD29" i="2" a="1"/>
  <c r="AD29" i="2" s="1"/>
  <c r="AA29" i="2" a="1"/>
  <c r="AA29" i="2" s="1"/>
  <c r="W29" i="2" a="1"/>
  <c r="W29" i="2" s="1"/>
  <c r="T29" i="2" a="1"/>
  <c r="T29" i="2" s="1"/>
  <c r="S29" i="2" a="1"/>
  <c r="S29" i="2" s="1"/>
  <c r="Z10" i="2" a="1"/>
  <c r="Z10" i="2" s="1"/>
  <c r="W10" i="2" a="1"/>
  <c r="W10" i="2" s="1"/>
  <c r="V10" i="2" a="1"/>
  <c r="V10" i="2" s="1"/>
  <c r="T10" i="2" a="1"/>
  <c r="T10" i="2" s="1"/>
  <c r="EO8" i="2"/>
  <c r="EO7" i="2" s="1" a="1"/>
  <c r="EO7" i="2" s="1"/>
  <c r="EP8" i="2"/>
  <c r="EP7" i="2" s="1" a="1"/>
  <c r="EP7" i="2" s="1"/>
  <c r="EQ8" i="2"/>
  <c r="EQ7" i="2" s="1" a="1"/>
  <c r="EQ7" i="2" s="1"/>
  <c r="ER8" i="2"/>
  <c r="ER7" i="2" s="1" a="1"/>
  <c r="ER7" i="2" s="1"/>
  <c r="ES8" i="2"/>
  <c r="ES7" i="2" s="1" a="1"/>
  <c r="ES7" i="2" s="1"/>
  <c r="ET8" i="2"/>
  <c r="ET7" i="2" s="1" a="1"/>
  <c r="ET7" i="2" s="1"/>
  <c r="EU8" i="2"/>
  <c r="EU7" i="2" s="1" a="1"/>
  <c r="EU7" i="2" s="1"/>
  <c r="EV8" i="2"/>
  <c r="EV7" i="2" s="1" a="1"/>
  <c r="EV7" i="2" s="1"/>
  <c r="EW8" i="2"/>
  <c r="EW7" i="2" s="1" a="1"/>
  <c r="EW7" i="2" s="1"/>
  <c r="EX8" i="2"/>
  <c r="EX7" i="2" s="1" a="1"/>
  <c r="EX7" i="2" s="1"/>
  <c r="EY8" i="2"/>
  <c r="EY7" i="2" s="1" a="1"/>
  <c r="EY7" i="2" s="1"/>
  <c r="EZ8" i="2"/>
  <c r="EZ7" i="2" s="1" a="1"/>
  <c r="EZ7" i="2" s="1"/>
  <c r="FA8" i="2"/>
  <c r="FA7" i="2" s="1" a="1"/>
  <c r="FA7" i="2" s="1"/>
  <c r="EA8" i="2"/>
  <c r="EA7" i="2" s="1" a="1"/>
  <c r="EA7" i="2" s="1"/>
  <c r="EB8" i="2"/>
  <c r="EB7" i="2" s="1" a="1"/>
  <c r="EB7" i="2" s="1"/>
  <c r="EC8" i="2"/>
  <c r="EC7" i="2" s="1" a="1"/>
  <c r="EC7" i="2" s="1"/>
  <c r="ED8" i="2"/>
  <c r="ED7" i="2" s="1" a="1"/>
  <c r="ED7" i="2" s="1"/>
  <c r="EE8" i="2"/>
  <c r="EE7" i="2" s="1" a="1"/>
  <c r="EE7" i="2" s="1"/>
  <c r="EF8" i="2"/>
  <c r="EF7" i="2" s="1" a="1"/>
  <c r="EF7" i="2" s="1"/>
  <c r="EG8" i="2"/>
  <c r="EG7" i="2" s="1" a="1"/>
  <c r="EG7" i="2" s="1"/>
  <c r="EH8" i="2"/>
  <c r="EH7" i="2" s="1" a="1"/>
  <c r="EH7" i="2" s="1"/>
  <c r="EI8" i="2"/>
  <c r="EI7" i="2" s="1" a="1"/>
  <c r="EI7" i="2" s="1"/>
  <c r="EJ8" i="2"/>
  <c r="EJ7" i="2" s="1" a="1"/>
  <c r="EJ7" i="2" s="1"/>
  <c r="EK8" i="2"/>
  <c r="EK7" i="2" s="1" a="1"/>
  <c r="EK7" i="2" s="1"/>
  <c r="EL8" i="2"/>
  <c r="EL7" i="2" s="1" a="1"/>
  <c r="EL7" i="2" s="1"/>
  <c r="DM8" i="2"/>
  <c r="DM7" i="2" s="1" a="1"/>
  <c r="DM7" i="2" s="1"/>
  <c r="DN8" i="2"/>
  <c r="DN7" i="2" s="1" a="1"/>
  <c r="DN7" i="2" s="1"/>
  <c r="DO8" i="2"/>
  <c r="DO7" i="2" s="1" a="1"/>
  <c r="DO7" i="2" s="1"/>
  <c r="DP8" i="2"/>
  <c r="DP7" i="2" s="1" a="1"/>
  <c r="DP7" i="2" s="1"/>
  <c r="DQ8" i="2"/>
  <c r="DQ7" i="2" s="1" a="1"/>
  <c r="DQ7" i="2" s="1"/>
  <c r="DR8" i="2"/>
  <c r="DR7" i="2" s="1" a="1"/>
  <c r="DR7" i="2" s="1"/>
  <c r="DS8" i="2"/>
  <c r="DS7" i="2" s="1" a="1"/>
  <c r="DS7" i="2" s="1"/>
  <c r="DT8" i="2"/>
  <c r="DT7" i="2" s="1" a="1"/>
  <c r="DT7" i="2" s="1"/>
  <c r="DU8" i="2"/>
  <c r="DU7" i="2" s="1" a="1"/>
  <c r="DU7" i="2" s="1"/>
  <c r="DV8" i="2"/>
  <c r="DV7" i="2" s="1" a="1"/>
  <c r="DV7" i="2" s="1"/>
  <c r="DW8" i="2"/>
  <c r="DW7" i="2" s="1" a="1"/>
  <c r="DW7" i="2" s="1"/>
  <c r="DX8" i="2"/>
  <c r="DX7" i="2" s="1" a="1"/>
  <c r="DX7" i="2" s="1"/>
  <c r="DY8" i="2"/>
  <c r="DY7" i="2" s="1" a="1"/>
  <c r="DY7" i="2" s="1"/>
  <c r="AG8" i="2"/>
  <c r="AG7" i="2" s="1" a="1"/>
  <c r="AG7" i="2" s="1"/>
  <c r="AH8" i="2"/>
  <c r="AH7" i="2" s="1" a="1"/>
  <c r="AH7" i="2" s="1"/>
  <c r="AI8" i="2"/>
  <c r="AI7" i="2" s="1" a="1"/>
  <c r="AI7" i="2" s="1"/>
  <c r="AJ8" i="2"/>
  <c r="AJ7" i="2" s="1" a="1"/>
  <c r="AJ7" i="2" s="1"/>
  <c r="AK8" i="2"/>
  <c r="AK7" i="2" s="1" a="1"/>
  <c r="AK7" i="2" s="1"/>
  <c r="AL8" i="2"/>
  <c r="AL7" i="2" s="1" a="1"/>
  <c r="AL7" i="2" s="1"/>
  <c r="AM8" i="2"/>
  <c r="AM7" i="2" s="1" a="1"/>
  <c r="AM7" i="2" s="1"/>
  <c r="AN8" i="2"/>
  <c r="AN7" i="2" s="1" a="1"/>
  <c r="AN7" i="2" s="1"/>
  <c r="AO8" i="2"/>
  <c r="AO7" i="2" s="1" a="1"/>
  <c r="AO7" i="2" s="1"/>
  <c r="AP8" i="2"/>
  <c r="AP7" i="2" s="1" a="1"/>
  <c r="AP7" i="2" s="1"/>
  <c r="AQ8" i="2"/>
  <c r="AQ7" i="2" s="1" a="1"/>
  <c r="AQ7" i="2" s="1"/>
  <c r="AR8" i="2"/>
  <c r="AR7" i="2" s="1" a="1"/>
  <c r="AR7" i="2" s="1"/>
  <c r="AU8" i="2"/>
  <c r="AU7" i="2" s="1" a="1"/>
  <c r="AU7" i="2" s="1"/>
  <c r="AV8" i="2"/>
  <c r="AV7" i="2" s="1" a="1"/>
  <c r="AV7" i="2" s="1"/>
  <c r="AW8" i="2"/>
  <c r="AW7" i="2" s="1" a="1"/>
  <c r="AW7" i="2" s="1"/>
  <c r="AX8" i="2"/>
  <c r="AX7" i="2" s="1" a="1"/>
  <c r="AX7" i="2" s="1"/>
  <c r="AY8" i="2"/>
  <c r="AY7" i="2" s="1" a="1"/>
  <c r="AY7" i="2" s="1"/>
  <c r="AZ8" i="2"/>
  <c r="AZ7" i="2" s="1" a="1"/>
  <c r="AZ7" i="2" s="1"/>
  <c r="BA8" i="2"/>
  <c r="BA7" i="2" s="1" a="1"/>
  <c r="BA7" i="2" s="1"/>
  <c r="BB8" i="2"/>
  <c r="BB7" i="2" s="1" a="1"/>
  <c r="BB7" i="2" s="1"/>
  <c r="BC8" i="2"/>
  <c r="BC7" i="2" s="1" a="1"/>
  <c r="BC7" i="2" s="1"/>
  <c r="BD8" i="2"/>
  <c r="BD7" i="2" s="1" a="1"/>
  <c r="BD7" i="2" s="1"/>
  <c r="BE8" i="2"/>
  <c r="BE7" i="2" s="1" a="1"/>
  <c r="BE7" i="2" s="1"/>
  <c r="BF8" i="2"/>
  <c r="BF7" i="2" s="1" a="1"/>
  <c r="BF7" i="2" s="1"/>
  <c r="BI8" i="2"/>
  <c r="BI7" i="2" s="1" a="1"/>
  <c r="BI7" i="2" s="1"/>
  <c r="DI8" i="2"/>
  <c r="DI7" i="2" s="1" a="1"/>
  <c r="DI7" i="2" s="1"/>
  <c r="BJ8" i="2"/>
  <c r="BJ7" i="2" s="1" a="1"/>
  <c r="BJ7" i="2" s="1"/>
  <c r="BK8" i="2"/>
  <c r="BK7" i="2" s="1" a="1"/>
  <c r="BK7" i="2" s="1"/>
  <c r="BL8" i="2"/>
  <c r="BL7" i="2" s="1" a="1"/>
  <c r="BL7" i="2" s="1"/>
  <c r="BM8" i="2"/>
  <c r="BM7" i="2" s="1" a="1"/>
  <c r="BM7" i="2" s="1"/>
  <c r="BN8" i="2"/>
  <c r="BN7" i="2" s="1" a="1"/>
  <c r="BN7" i="2" s="1"/>
  <c r="BO8" i="2"/>
  <c r="BO7" i="2" s="1" a="1"/>
  <c r="BO7" i="2" s="1"/>
  <c r="BP8" i="2"/>
  <c r="BP7" i="2" s="1" a="1"/>
  <c r="BP7" i="2" s="1"/>
  <c r="BQ8" i="2"/>
  <c r="BQ7" i="2" s="1" a="1"/>
  <c r="BQ7" i="2" s="1"/>
  <c r="BR8" i="2"/>
  <c r="BR7" i="2" s="1" a="1"/>
  <c r="BR7" i="2" s="1"/>
  <c r="BS8" i="2"/>
  <c r="BS7" i="2" s="1" a="1"/>
  <c r="BS7" i="2" s="1"/>
  <c r="BT8" i="2"/>
  <c r="BT7" i="2" s="1" a="1"/>
  <c r="BT7" i="2" s="1"/>
  <c r="BW8" i="2"/>
  <c r="BW7" i="2" s="1" a="1"/>
  <c r="BW7" i="2" s="1"/>
  <c r="BX8" i="2"/>
  <c r="BX7" i="2" s="1" a="1"/>
  <c r="BX7" i="2" s="1"/>
  <c r="BY8" i="2"/>
  <c r="BY7" i="2" s="1" a="1"/>
  <c r="BY7" i="2" s="1"/>
  <c r="BZ8" i="2"/>
  <c r="BZ7" i="2" s="1" a="1"/>
  <c r="BZ7" i="2" s="1"/>
  <c r="CA8" i="2"/>
  <c r="CA7" i="2" s="1" a="1"/>
  <c r="CA7" i="2" s="1"/>
  <c r="CB8" i="2"/>
  <c r="CB7" i="2" s="1" a="1"/>
  <c r="CB7" i="2" s="1"/>
  <c r="CC8" i="2"/>
  <c r="CC7" i="2" s="1" a="1"/>
  <c r="CC7" i="2" s="1"/>
  <c r="CD8" i="2"/>
  <c r="CD7" i="2" s="1" a="1"/>
  <c r="CD7" i="2" s="1"/>
  <c r="CE8" i="2"/>
  <c r="CE7" i="2" s="1" a="1"/>
  <c r="CE7" i="2" s="1"/>
  <c r="CF8" i="2"/>
  <c r="CF7" i="2" s="1" a="1"/>
  <c r="CF7" i="2" s="1"/>
  <c r="CG8" i="2"/>
  <c r="CG7" i="2" s="1" a="1"/>
  <c r="CG7" i="2" s="1"/>
  <c r="CH8" i="2"/>
  <c r="CH7" i="2" s="1" a="1"/>
  <c r="CH7" i="2" s="1"/>
  <c r="CK8" i="2"/>
  <c r="CK7" i="2" s="1" a="1"/>
  <c r="CK7" i="2" s="1"/>
  <c r="CL8" i="2"/>
  <c r="CL7" i="2" s="1" a="1"/>
  <c r="CL7" i="2" s="1"/>
  <c r="CM8" i="2"/>
  <c r="CM7" i="2" s="1" a="1"/>
  <c r="CM7" i="2" s="1"/>
  <c r="CN8" i="2"/>
  <c r="CN7" i="2" s="1" a="1"/>
  <c r="CN7" i="2" s="1"/>
  <c r="CO8" i="2"/>
  <c r="CO7" i="2" s="1" a="1"/>
  <c r="CO7" i="2" s="1"/>
  <c r="CP8" i="2"/>
  <c r="CP7" i="2" s="1" a="1"/>
  <c r="CP7" i="2" s="1"/>
  <c r="CQ8" i="2"/>
  <c r="CQ7" i="2" s="1" a="1"/>
  <c r="CQ7" i="2" s="1"/>
  <c r="CR8" i="2"/>
  <c r="CR7" i="2" s="1" a="1"/>
  <c r="CR7" i="2" s="1"/>
  <c r="CS8" i="2"/>
  <c r="CS7" i="2" s="1" a="1"/>
  <c r="CS7" i="2" s="1"/>
  <c r="CT8" i="2"/>
  <c r="CT7" i="2" s="1" a="1"/>
  <c r="CT7" i="2" s="1"/>
  <c r="CU8" i="2"/>
  <c r="CU7" i="2" s="1" a="1"/>
  <c r="CU7" i="2" s="1"/>
  <c r="CV8" i="2"/>
  <c r="CV7" i="2" s="1" a="1"/>
  <c r="CV7" i="2" s="1"/>
  <c r="CY8" i="2"/>
  <c r="CY7" i="2" s="1" a="1"/>
  <c r="CY7" i="2" s="1"/>
  <c r="CZ8" i="2"/>
  <c r="CZ7" i="2" s="1" a="1"/>
  <c r="CZ7" i="2" s="1"/>
  <c r="DA8" i="2"/>
  <c r="DA7" i="2" s="1" a="1"/>
  <c r="DA7" i="2" s="1"/>
  <c r="DB8" i="2"/>
  <c r="DB7" i="2" s="1" a="1"/>
  <c r="DB7" i="2" s="1"/>
  <c r="DC8" i="2"/>
  <c r="DC7" i="2" s="1" a="1"/>
  <c r="DC7" i="2" s="1"/>
  <c r="DD8" i="2"/>
  <c r="DD7" i="2" s="1" a="1"/>
  <c r="DD7" i="2" s="1"/>
  <c r="DE8" i="2"/>
  <c r="DE7" i="2" s="1" a="1"/>
  <c r="DE7" i="2" s="1"/>
  <c r="DF8" i="2"/>
  <c r="DF7" i="2" s="1" a="1"/>
  <c r="DF7" i="2" s="1"/>
  <c r="DG8" i="2"/>
  <c r="DG7" i="2" s="1" a="1"/>
  <c r="DG7" i="2" s="1"/>
  <c r="DH8" i="2"/>
  <c r="DH7" i="2" s="1" a="1"/>
  <c r="DH7" i="2" s="1"/>
  <c r="DJ8" i="2"/>
  <c r="DJ7" i="2" s="1" a="1"/>
  <c r="DJ7" i="2" s="1"/>
  <c r="AS8" i="2"/>
  <c r="AS7" i="2" s="1" a="1"/>
  <c r="AS7" i="2" s="1"/>
  <c r="BG8" i="2"/>
  <c r="BG7" i="2" s="1" a="1"/>
  <c r="BG7" i="2" s="1"/>
  <c r="BU8" i="2"/>
  <c r="BU7" i="2" s="1" a="1"/>
  <c r="BU7" i="2" s="1"/>
  <c r="CI8" i="2"/>
  <c r="CI7" i="2" s="1" a="1"/>
  <c r="CI7" i="2" s="1"/>
  <c r="CW8" i="2"/>
  <c r="CW7" i="2" s="1" a="1"/>
  <c r="CW7" i="2" s="1"/>
  <c r="DK8" i="2"/>
  <c r="DK7" i="2" s="1" a="1"/>
  <c r="DK7" i="2" s="1"/>
  <c r="S8" i="2"/>
  <c r="S7" i="2" s="1" a="1"/>
  <c r="S7" i="2" s="1"/>
  <c r="T8" i="2"/>
  <c r="T7" i="2" s="1" a="1"/>
  <c r="T7" i="2" s="1"/>
  <c r="U8" i="2"/>
  <c r="U7" i="2" s="1" a="1"/>
  <c r="U7" i="2" s="1"/>
  <c r="W8" i="2"/>
  <c r="W7" i="2" s="1" a="1"/>
  <c r="W7" i="2" s="1"/>
  <c r="X8" i="2"/>
  <c r="X7" i="2" s="1" a="1"/>
  <c r="X7" i="2" s="1"/>
  <c r="Y8" i="2"/>
  <c r="Y7" i="2" s="1" a="1"/>
  <c r="Y7" i="2" s="1"/>
  <c r="Z8" i="2"/>
  <c r="Z7" i="2" s="1" a="1"/>
  <c r="Z7" i="2" s="1"/>
  <c r="AA8" i="2"/>
  <c r="AA7" i="2" s="1" a="1"/>
  <c r="AA7" i="2" s="1"/>
  <c r="AB8" i="2"/>
  <c r="AB7" i="2" s="1" a="1"/>
  <c r="AB7" i="2" s="1"/>
  <c r="AC8" i="2"/>
  <c r="AC7" i="2" s="1" a="1"/>
  <c r="AC7" i="2" s="1"/>
  <c r="V8" i="2"/>
  <c r="V7" i="2" s="1" a="1"/>
  <c r="V7" i="2" s="1"/>
  <c r="AD8" i="2"/>
  <c r="AD7" i="2" s="1" a="1"/>
  <c r="AD7" i="2" s="1"/>
  <c r="Q48" i="2" a="1"/>
  <c r="Q48" i="2" s="1"/>
  <c r="O48" i="2" a="1"/>
  <c r="O48" i="2" s="1"/>
  <c r="M48" i="2" a="1"/>
  <c r="M48" i="2" s="1"/>
  <c r="L48" i="2" a="1"/>
  <c r="L48" i="2" s="1"/>
  <c r="K48" i="2" a="1"/>
  <c r="K48" i="2" s="1"/>
  <c r="P48" i="2" a="1"/>
  <c r="P48" i="2" s="1"/>
  <c r="N48" i="2" a="1"/>
  <c r="N48" i="2" s="1"/>
  <c r="I48" i="2" a="1"/>
  <c r="I48" i="2" s="1"/>
  <c r="H48" i="2" a="1"/>
  <c r="H48" i="2" s="1"/>
  <c r="G48" i="2" a="1"/>
  <c r="G48" i="2" s="1"/>
  <c r="F48" i="2" a="1"/>
  <c r="F48" i="2" s="1"/>
  <c r="E48" i="2" a="1"/>
  <c r="E48" i="2" s="1"/>
  <c r="J48" i="2" a="1"/>
  <c r="J48" i="2" s="1"/>
  <c r="F8" i="2"/>
  <c r="F7" i="2" s="1" a="1"/>
  <c r="F7" i="2" s="1"/>
  <c r="G8" i="2"/>
  <c r="G7" i="2" s="1" a="1"/>
  <c r="G7" i="2" s="1"/>
  <c r="H8" i="2"/>
  <c r="H7" i="2" s="1" a="1"/>
  <c r="H7" i="2" s="1"/>
  <c r="I8" i="2"/>
  <c r="I7" i="2" s="1" a="1"/>
  <c r="I7" i="2" s="1"/>
  <c r="J8" i="2"/>
  <c r="J7" i="2" s="1" a="1"/>
  <c r="J7" i="2" s="1"/>
  <c r="K8" i="2"/>
  <c r="K7" i="2" s="1" a="1"/>
  <c r="K7" i="2" s="1"/>
  <c r="L8" i="2"/>
  <c r="L7" i="2" s="1" a="1"/>
  <c r="L7" i="2" s="1"/>
  <c r="M8" i="2"/>
  <c r="M7" i="2" s="1" a="1"/>
  <c r="M7" i="2" s="1"/>
  <c r="N8" i="2"/>
  <c r="N7" i="2" s="1" a="1"/>
  <c r="N7" i="2" s="1"/>
  <c r="O8" i="2"/>
  <c r="O7" i="2" s="1" a="1"/>
  <c r="O7" i="2" s="1"/>
  <c r="P8" i="2"/>
  <c r="P7" i="2" s="1" a="1"/>
  <c r="P7" i="2" s="1"/>
  <c r="Q8" i="2"/>
  <c r="Q7" i="2" s="1" a="1"/>
  <c r="Q7" i="2" s="1"/>
  <c r="E8" i="2"/>
  <c r="E7" i="2" s="1" a="1"/>
  <c r="E7" i="2" s="1"/>
  <c r="O29" i="2" a="1"/>
  <c r="O29" i="2" s="1"/>
  <c r="Q29" i="2" a="1"/>
  <c r="Q29" i="2" s="1"/>
  <c r="N29" i="2" a="1"/>
  <c r="N29" i="2" s="1"/>
  <c r="K29" i="2" a="1"/>
  <c r="K29" i="2" s="1"/>
  <c r="J29" i="2" a="1"/>
  <c r="J29" i="2" s="1"/>
  <c r="H29" i="2" a="1"/>
  <c r="H29" i="2" s="1"/>
  <c r="E29" i="2" a="1"/>
  <c r="E29" i="2" s="1"/>
  <c r="P29" i="2" a="1"/>
  <c r="P29" i="2" s="1"/>
  <c r="M29" i="2" a="1"/>
  <c r="M29" i="2" s="1"/>
  <c r="L29" i="2" a="1"/>
  <c r="L29" i="2" s="1"/>
  <c r="I29" i="2" a="1"/>
  <c r="I29" i="2" s="1"/>
  <c r="G29" i="2" a="1"/>
  <c r="G29" i="2" s="1"/>
  <c r="F29" i="2" a="1"/>
  <c r="F29" i="2" s="1"/>
  <c r="E10" i="2" a="1"/>
  <c r="E10" i="2" s="1"/>
  <c r="F10" i="2" a="1"/>
  <c r="F10" i="2" s="1"/>
  <c r="G10" i="2" a="1"/>
  <c r="G10" i="2" s="1"/>
  <c r="H10" i="2" a="1"/>
  <c r="H10" i="2" s="1"/>
  <c r="I10" i="2" a="1"/>
  <c r="I10" i="2" s="1"/>
  <c r="J10" i="2" a="1"/>
  <c r="J10" i="2" s="1"/>
  <c r="K10" i="2" a="1"/>
  <c r="K10" i="2" s="1"/>
  <c r="L10" i="2" a="1"/>
  <c r="L10" i="2" s="1"/>
  <c r="M10" i="2" a="1"/>
  <c r="M10" i="2" s="1"/>
  <c r="N10" i="2" a="1"/>
  <c r="N10" i="2" s="1"/>
  <c r="O10" i="2" a="1"/>
  <c r="O10" i="2" s="1"/>
  <c r="P10" i="2" a="1"/>
  <c r="P10" i="2" s="1"/>
  <c r="Q10" i="2" a="1"/>
  <c r="Q10" i="2" s="1"/>
  <c r="S16" i="4" l="1"/>
  <c r="U16" i="4" s="1"/>
  <c r="S21" i="4"/>
  <c r="U21" i="4" s="1"/>
  <c r="S23" i="4"/>
  <c r="U23" i="4" s="1"/>
  <c r="S25" i="4"/>
  <c r="U25" i="4" s="1"/>
  <c r="S26" i="4"/>
  <c r="U26" i="4" s="1"/>
  <c r="S28" i="4"/>
  <c r="U28" i="4" s="1"/>
  <c r="S29" i="4"/>
  <c r="U29" i="4" s="1"/>
  <c r="S31" i="4"/>
  <c r="U31" i="4" s="1"/>
  <c r="S35" i="4"/>
  <c r="U35" i="4" s="1"/>
  <c r="W35" i="4" s="1"/>
  <c r="X35" i="4" s="1"/>
  <c r="S37" i="4"/>
  <c r="U37" i="4" s="1"/>
  <c r="S38" i="4"/>
  <c r="U38" i="4" s="1"/>
  <c r="S14" i="4"/>
  <c r="U14" i="4" s="1"/>
  <c r="S20" i="4"/>
  <c r="U20" i="4" s="1"/>
  <c r="S22" i="4"/>
  <c r="U22" i="4" s="1"/>
  <c r="S24" i="4"/>
  <c r="U24" i="4" s="1"/>
  <c r="S27" i="4"/>
  <c r="U27" i="4" s="1"/>
  <c r="S30" i="4"/>
  <c r="U30" i="4" s="1"/>
  <c r="S36" i="4"/>
  <c r="U36" i="4" s="1"/>
  <c r="S39" i="4"/>
  <c r="U39" i="4" s="1"/>
  <c r="S40" i="4"/>
  <c r="U40" i="4" s="1"/>
  <c r="S15" i="4"/>
  <c r="U15" i="4" s="1"/>
  <c r="C15" i="4" a="1"/>
  <c r="C15" i="4" s="1"/>
  <c r="C16" i="4" s="1" a="1"/>
  <c r="C16" i="4" s="1"/>
  <c r="C17" i="4" s="1" a="1"/>
  <c r="C17" i="4" s="1"/>
  <c r="C18" i="4" s="1" a="1"/>
  <c r="C18" i="4" s="1"/>
  <c r="C19" i="4" s="1" a="1"/>
  <c r="C19" i="4" s="1"/>
  <c r="C20" i="4" s="1" a="1"/>
  <c r="C20" i="4" s="1"/>
  <c r="C21" i="4" s="1" a="1"/>
  <c r="C21" i="4" s="1"/>
  <c r="C22" i="4" s="1" a="1"/>
  <c r="C22" i="4" s="1"/>
  <c r="C23" i="4" s="1" a="1"/>
  <c r="C23" i="4" s="1"/>
  <c r="C24" i="4" s="1" a="1"/>
  <c r="C24" i="4" s="1"/>
  <c r="C25" i="4" s="1" a="1"/>
  <c r="C25" i="4" s="1"/>
  <c r="C26" i="4" s="1" a="1"/>
  <c r="C26" i="4" s="1"/>
  <c r="C27" i="4" s="1" a="1"/>
  <c r="C27" i="4" s="1"/>
  <c r="C28" i="4" s="1" a="1"/>
  <c r="C28" i="4" s="1"/>
  <c r="C29" i="4" s="1" a="1"/>
  <c r="C29" i="4" s="1"/>
  <c r="C30" i="4" s="1" a="1"/>
  <c r="C30" i="4" s="1"/>
  <c r="C31" i="4" s="1" a="1"/>
  <c r="C31" i="4" s="1"/>
  <c r="C32" i="4" s="1" a="1"/>
  <c r="C32" i="4" s="1"/>
  <c r="C33" i="4" s="1" a="1"/>
  <c r="C33" i="4" s="1"/>
  <c r="C34" i="4" s="1" a="1"/>
  <c r="C34" i="4" s="1"/>
  <c r="C35" i="4" s="1" a="1"/>
  <c r="C35" i="4" s="1"/>
  <c r="C36" i="4" s="1" a="1"/>
  <c r="C36" i="4" s="1"/>
  <c r="C37" i="4" s="1" a="1"/>
  <c r="C37" i="4" s="1"/>
  <c r="C38" i="4" s="1" a="1"/>
  <c r="C38" i="4" s="1"/>
  <c r="C39" i="4" s="1" a="1"/>
  <c r="C39" i="4" s="1"/>
  <c r="C40" i="4" s="1" a="1"/>
  <c r="C40" i="4" s="1"/>
  <c r="C41" i="4" s="1" a="1"/>
  <c r="C41" i="4" s="1"/>
  <c r="C42" i="4" s="1" a="1"/>
  <c r="C42" i="4" s="1"/>
  <c r="C43" i="4" s="1" a="1"/>
  <c r="C43" i="4" s="1"/>
  <c r="C44" i="4" s="1" a="1"/>
  <c r="C44" i="4" s="1"/>
  <c r="C45" i="4" s="1" a="1"/>
  <c r="C45" i="4" s="1"/>
  <c r="C46" i="4" s="1" a="1"/>
  <c r="C46" i="4" s="1"/>
  <c r="C47" i="4" s="1" a="1"/>
  <c r="C47" i="4" s="1"/>
  <c r="C48" i="4" s="1" a="1"/>
  <c r="C48" i="4" s="1"/>
  <c r="C49" i="4" s="1" a="1"/>
  <c r="C49" i="4" s="1"/>
  <c r="C50" i="4" s="1" a="1"/>
  <c r="C50" i="4" s="1"/>
  <c r="C51" i="4" s="1" a="1"/>
  <c r="C51" i="4" s="1"/>
  <c r="C52" i="4" s="1" a="1"/>
  <c r="C52" i="4" s="1"/>
  <c r="C53" i="4" s="1" a="1"/>
  <c r="C53" i="4" s="1"/>
  <c r="C54" i="4" s="1" a="1"/>
  <c r="C54" i="4" s="1"/>
  <c r="C55" i="4" s="1" a="1"/>
  <c r="C55" i="4" s="1"/>
  <c r="C56" i="4" s="1" a="1"/>
  <c r="C56" i="4" s="1"/>
  <c r="C57" i="4" s="1" a="1"/>
  <c r="C57" i="4" s="1"/>
  <c r="C58" i="4" s="1" a="1"/>
  <c r="C58" i="4" s="1"/>
  <c r="C59" i="4" s="1" a="1"/>
  <c r="C59" i="4" s="1"/>
  <c r="C60" i="4" s="1" a="1"/>
  <c r="C60" i="4" s="1"/>
  <c r="C61" i="4" s="1" a="1"/>
  <c r="C61" i="4" s="1"/>
  <c r="C62" i="4" s="1" a="1"/>
  <c r="C62" i="4" s="1"/>
  <c r="C63" i="4" s="1" a="1"/>
  <c r="C63" i="4" s="1"/>
  <c r="C64" i="4" s="1" a="1"/>
  <c r="C64" i="4" s="1"/>
  <c r="C65" i="4" s="1" a="1"/>
  <c r="C65" i="4" s="1"/>
  <c r="C66" i="4" s="1" a="1"/>
  <c r="C66" i="4" s="1"/>
  <c r="C67" i="4" s="1" a="1"/>
  <c r="C67" i="4" s="1"/>
  <c r="C68" i="4" s="1" a="1"/>
  <c r="C68" i="4" s="1"/>
  <c r="C69" i="4" s="1" a="1"/>
  <c r="C69" i="4" s="1"/>
  <c r="J14" i="4" a="1"/>
  <c r="J14" i="4" s="1"/>
  <c r="J15" i="4" a="1"/>
  <c r="J15" i="4" s="1"/>
  <c r="Y11" i="4"/>
  <c r="AF11" i="4"/>
  <c r="AS48" i="2" a="1"/>
  <c r="AS48" i="2" s="1"/>
  <c r="AR48" i="2" a="1"/>
  <c r="AR48" i="2" s="1"/>
  <c r="AQ48" i="2" a="1"/>
  <c r="AQ48" i="2" s="1"/>
  <c r="AP48" i="2" a="1"/>
  <c r="AP48" i="2" s="1"/>
  <c r="AO48" i="2" a="1"/>
  <c r="AO48" i="2" s="1"/>
  <c r="AN48" i="2" a="1"/>
  <c r="AN48" i="2" s="1"/>
  <c r="AM48" i="2" a="1"/>
  <c r="AM48" i="2" s="1"/>
  <c r="AL48" i="2" a="1"/>
  <c r="AL48" i="2" s="1"/>
  <c r="AK48" i="2" a="1"/>
  <c r="AK48" i="2" s="1"/>
  <c r="AJ48" i="2" a="1"/>
  <c r="AJ48" i="2" s="1"/>
  <c r="AI48" i="2" a="1"/>
  <c r="AI48" i="2" s="1"/>
  <c r="AH48" i="2" a="1"/>
  <c r="AH48" i="2" s="1"/>
  <c r="AG48" i="2" a="1"/>
  <c r="AG48" i="2" s="1"/>
  <c r="AS29" i="2" a="1"/>
  <c r="AS29" i="2" s="1"/>
  <c r="AR29" i="2" a="1"/>
  <c r="AR29" i="2" s="1"/>
  <c r="AQ29" i="2" a="1"/>
  <c r="AQ29" i="2" s="1"/>
  <c r="AP29" i="2" a="1"/>
  <c r="AP29" i="2" s="1"/>
  <c r="AO29" i="2" a="1"/>
  <c r="AO29" i="2" s="1"/>
  <c r="AN29" i="2" a="1"/>
  <c r="AN29" i="2" s="1"/>
  <c r="AM29" i="2" a="1"/>
  <c r="AM29" i="2" s="1"/>
  <c r="AL29" i="2" a="1"/>
  <c r="AL29" i="2" s="1"/>
  <c r="AK29" i="2" a="1"/>
  <c r="AK29" i="2" s="1"/>
  <c r="AJ29" i="2" a="1"/>
  <c r="AJ29" i="2" s="1"/>
  <c r="AI29" i="2" a="1"/>
  <c r="AI29" i="2" s="1"/>
  <c r="AH29" i="2" a="1"/>
  <c r="AH29" i="2" s="1"/>
  <c r="AG29" i="2" a="1"/>
  <c r="AG29" i="2" s="1"/>
  <c r="AS10" i="2" a="1"/>
  <c r="AS10" i="2" s="1"/>
  <c r="AR10" i="2" a="1"/>
  <c r="AR10" i="2" s="1"/>
  <c r="AQ10" i="2" a="1"/>
  <c r="AQ10" i="2" s="1"/>
  <c r="AP10" i="2" a="1"/>
  <c r="AP10" i="2" s="1"/>
  <c r="AO10" i="2" a="1"/>
  <c r="AO10" i="2" s="1"/>
  <c r="AN10" i="2" a="1"/>
  <c r="AN10" i="2" s="1"/>
  <c r="AM10" i="2" a="1"/>
  <c r="AM10" i="2" s="1"/>
  <c r="AL10" i="2" a="1"/>
  <c r="AL10" i="2" s="1"/>
  <c r="AK10" i="2" a="1"/>
  <c r="AK10" i="2" s="1"/>
  <c r="AJ10" i="2" a="1"/>
  <c r="AJ10" i="2" s="1"/>
  <c r="AI10" i="2" a="1"/>
  <c r="AI10" i="2" s="1"/>
  <c r="AH10" i="2" a="1"/>
  <c r="AH10" i="2" s="1"/>
  <c r="AG10" i="2" a="1"/>
  <c r="AG10" i="2" s="1"/>
  <c r="AU6" i="2"/>
  <c r="W15" i="4" l="1"/>
  <c r="X15" i="4" s="1"/>
  <c r="W14" i="4"/>
  <c r="X14" i="4" s="1"/>
  <c r="W16" i="4"/>
  <c r="X16" i="4" s="1"/>
  <c r="W20" i="4"/>
  <c r="X20" i="4" s="1"/>
  <c r="W22" i="4"/>
  <c r="X22" i="4" s="1"/>
  <c r="W37" i="4"/>
  <c r="X37" i="4" s="1"/>
  <c r="W36" i="4"/>
  <c r="X36" i="4" s="1"/>
  <c r="W24" i="4"/>
  <c r="X24" i="4" s="1"/>
  <c r="W21" i="4"/>
  <c r="X21" i="4" s="1"/>
  <c r="W23" i="4"/>
  <c r="X23" i="4" s="1"/>
  <c r="W25" i="4"/>
  <c r="X25" i="4" s="1"/>
  <c r="W31" i="4"/>
  <c r="X31" i="4" s="1"/>
  <c r="W30" i="4"/>
  <c r="X30" i="4" s="1"/>
  <c r="W40" i="4"/>
  <c r="X40" i="4" s="1"/>
  <c r="W38" i="4"/>
  <c r="X38" i="4" s="1"/>
  <c r="W39" i="4"/>
  <c r="X39" i="4" s="1"/>
  <c r="W26" i="4"/>
  <c r="X26" i="4" s="1"/>
  <c r="W27" i="4"/>
  <c r="X27" i="4" s="1"/>
  <c r="W28" i="4"/>
  <c r="X28" i="4" s="1"/>
  <c r="W29" i="4"/>
  <c r="X29" i="4" s="1"/>
  <c r="J16" i="4" a="1"/>
  <c r="J16" i="4" s="1"/>
  <c r="BG48" i="2" a="1"/>
  <c r="BG48" i="2" s="1"/>
  <c r="BF48" i="2" a="1"/>
  <c r="BF48" i="2" s="1"/>
  <c r="BE48" i="2" a="1"/>
  <c r="BE48" i="2" s="1"/>
  <c r="BD48" i="2" a="1"/>
  <c r="BD48" i="2" s="1"/>
  <c r="BC48" i="2" a="1"/>
  <c r="BC48" i="2" s="1"/>
  <c r="BB48" i="2" a="1"/>
  <c r="BB48" i="2" s="1"/>
  <c r="BA48" i="2" a="1"/>
  <c r="BA48" i="2" s="1"/>
  <c r="AZ48" i="2" a="1"/>
  <c r="AZ48" i="2" s="1"/>
  <c r="AY48" i="2" a="1"/>
  <c r="AY48" i="2" s="1"/>
  <c r="AX48" i="2" a="1"/>
  <c r="AX48" i="2" s="1"/>
  <c r="AW48" i="2" a="1"/>
  <c r="AW48" i="2" s="1"/>
  <c r="AV48" i="2" a="1"/>
  <c r="AV48" i="2" s="1"/>
  <c r="AU48" i="2" a="1"/>
  <c r="AU48" i="2" s="1"/>
  <c r="BG29" i="2" a="1"/>
  <c r="BG29" i="2" s="1"/>
  <c r="BF29" i="2" a="1"/>
  <c r="BF29" i="2" s="1"/>
  <c r="BE29" i="2" a="1"/>
  <c r="BE29" i="2" s="1"/>
  <c r="BD29" i="2" a="1"/>
  <c r="BD29" i="2" s="1"/>
  <c r="BC29" i="2" a="1"/>
  <c r="BC29" i="2" s="1"/>
  <c r="BB29" i="2" a="1"/>
  <c r="BB29" i="2" s="1"/>
  <c r="BA29" i="2" a="1"/>
  <c r="BA29" i="2" s="1"/>
  <c r="AZ29" i="2" a="1"/>
  <c r="AZ29" i="2" s="1"/>
  <c r="AY29" i="2" a="1"/>
  <c r="AY29" i="2" s="1"/>
  <c r="AX29" i="2" a="1"/>
  <c r="AX29" i="2" s="1"/>
  <c r="AW29" i="2" a="1"/>
  <c r="AW29" i="2" s="1"/>
  <c r="AV29" i="2" a="1"/>
  <c r="AV29" i="2" s="1"/>
  <c r="AU29" i="2" a="1"/>
  <c r="AU29" i="2" s="1"/>
  <c r="BG10" i="2" a="1"/>
  <c r="BG10" i="2" s="1"/>
  <c r="BF10" i="2" a="1"/>
  <c r="BF10" i="2" s="1"/>
  <c r="BE10" i="2" a="1"/>
  <c r="BE10" i="2" s="1"/>
  <c r="BD10" i="2" a="1"/>
  <c r="BD10" i="2" s="1"/>
  <c r="BC10" i="2" a="1"/>
  <c r="BC10" i="2" s="1"/>
  <c r="BB10" i="2" a="1"/>
  <c r="BB10" i="2" s="1"/>
  <c r="BA10" i="2" a="1"/>
  <c r="BA10" i="2" s="1"/>
  <c r="AZ10" i="2" a="1"/>
  <c r="AZ10" i="2" s="1"/>
  <c r="AY10" i="2" a="1"/>
  <c r="AY10" i="2" s="1"/>
  <c r="AX10" i="2" a="1"/>
  <c r="AX10" i="2" s="1"/>
  <c r="AW10" i="2" a="1"/>
  <c r="AW10" i="2" s="1"/>
  <c r="AV10" i="2" a="1"/>
  <c r="AV10" i="2" s="1"/>
  <c r="AU10" i="2" a="1"/>
  <c r="AU10" i="2" s="1"/>
  <c r="BI6" i="2"/>
  <c r="N41" i="5" l="1" a="1"/>
  <c r="N41" i="5" s="1"/>
  <c r="N36" i="5" a="1"/>
  <c r="N36" i="5" s="1"/>
  <c r="M36" i="5" s="1" a="1"/>
  <c r="M36" i="5" s="1"/>
  <c r="N37" i="5" a="1"/>
  <c r="N37" i="5" s="1"/>
  <c r="M37" i="5" s="1" a="1"/>
  <c r="M37" i="5" s="1"/>
  <c r="N38" i="5" a="1"/>
  <c r="N38" i="5" s="1"/>
  <c r="M38" i="5" s="1" a="1"/>
  <c r="M38" i="5" s="1"/>
  <c r="N39" i="5" a="1"/>
  <c r="N39" i="5" s="1"/>
  <c r="M39" i="5" s="1" a="1"/>
  <c r="M39" i="5" s="1"/>
  <c r="N35" i="5" a="1"/>
  <c r="N35" i="5" s="1"/>
  <c r="M35" i="5" s="1" a="1"/>
  <c r="M35" i="5" s="1"/>
  <c r="J41" i="5" a="1"/>
  <c r="J41" i="5" s="1"/>
  <c r="J35" i="5" a="1"/>
  <c r="J35" i="5" s="1"/>
  <c r="I35" i="5" s="1" a="1"/>
  <c r="I35" i="5" s="1"/>
  <c r="J36" i="5" a="1"/>
  <c r="J36" i="5" s="1"/>
  <c r="I36" i="5" s="1" a="1"/>
  <c r="I36" i="5" s="1"/>
  <c r="J39" i="5" a="1"/>
  <c r="J39" i="5" s="1"/>
  <c r="J38" i="5" a="1"/>
  <c r="J38" i="5" s="1"/>
  <c r="J37" i="5" a="1"/>
  <c r="J37" i="5" s="1"/>
  <c r="I37" i="5" s="1" a="1"/>
  <c r="I37" i="5" s="1"/>
  <c r="F41" i="5" a="1"/>
  <c r="F41" i="5" s="1"/>
  <c r="F35" i="5" a="1"/>
  <c r="F35" i="5" s="1"/>
  <c r="F36" i="5" a="1"/>
  <c r="F36" i="5" s="1"/>
  <c r="F37" i="5" a="1"/>
  <c r="F37" i="5" s="1"/>
  <c r="AJ19" i="4"/>
  <c r="AJ20" i="4"/>
  <c r="AA14" i="4"/>
  <c r="Z14" i="4"/>
  <c r="Y14" i="4"/>
  <c r="AA17" i="4"/>
  <c r="Z22" i="4"/>
  <c r="Z15" i="4"/>
  <c r="Y16" i="4"/>
  <c r="Y19" i="4"/>
  <c r="AA22" i="4"/>
  <c r="AA16" i="4"/>
  <c r="AA15" i="4"/>
  <c r="Z16" i="4"/>
  <c r="Z17" i="4"/>
  <c r="Y15" i="4"/>
  <c r="Y17" i="4"/>
  <c r="Y22" i="4"/>
  <c r="AA25" i="4"/>
  <c r="Z21" i="4"/>
  <c r="Z25" i="4"/>
  <c r="AA20" i="4"/>
  <c r="AA23" i="4"/>
  <c r="AA24" i="4"/>
  <c r="Z20" i="4"/>
  <c r="Y21" i="4"/>
  <c r="Y25" i="4"/>
  <c r="Y20" i="4"/>
  <c r="Y23" i="4"/>
  <c r="Y24" i="4"/>
  <c r="AA21" i="4"/>
  <c r="Z24" i="4"/>
  <c r="Z23" i="4"/>
  <c r="AA26" i="4"/>
  <c r="AA32" i="4"/>
  <c r="AA36" i="4"/>
  <c r="AA40" i="4"/>
  <c r="AA38" i="4"/>
  <c r="AA37" i="4"/>
  <c r="Z26" i="4"/>
  <c r="Z39" i="4"/>
  <c r="Y30" i="4"/>
  <c r="Y37" i="4"/>
  <c r="Y40" i="4"/>
  <c r="AA31" i="4"/>
  <c r="AA27" i="4"/>
  <c r="AA41" i="4"/>
  <c r="AA30" i="4"/>
  <c r="AA29" i="4"/>
  <c r="AA35" i="4"/>
  <c r="AA39" i="4"/>
  <c r="AA28" i="4"/>
  <c r="Z28" i="4"/>
  <c r="Y27" i="4"/>
  <c r="Y32" i="4"/>
  <c r="Y38" i="4"/>
  <c r="Z32" i="4"/>
  <c r="Z38" i="4"/>
  <c r="Z41" i="4"/>
  <c r="Z27" i="4"/>
  <c r="Z29" i="4"/>
  <c r="Z31" i="4"/>
  <c r="Z35" i="4"/>
  <c r="Y31" i="4"/>
  <c r="Y36" i="4"/>
  <c r="Y39" i="4"/>
  <c r="Z36" i="4"/>
  <c r="Z30" i="4"/>
  <c r="Z37" i="4"/>
  <c r="Z40" i="4"/>
  <c r="Y29" i="4"/>
  <c r="Y35" i="4"/>
  <c r="Y41" i="4"/>
  <c r="Y26" i="4"/>
  <c r="Y28" i="4"/>
  <c r="Y34" i="4"/>
  <c r="J17" i="4" a="1"/>
  <c r="J17" i="4" s="1"/>
  <c r="BU48" i="2" a="1"/>
  <c r="BU48" i="2" s="1"/>
  <c r="BT48" i="2" a="1"/>
  <c r="BT48" i="2" s="1"/>
  <c r="BS48" i="2" a="1"/>
  <c r="BS48" i="2" s="1"/>
  <c r="BR48" i="2" a="1"/>
  <c r="BR48" i="2" s="1"/>
  <c r="BQ48" i="2" a="1"/>
  <c r="BQ48" i="2" s="1"/>
  <c r="BP48" i="2" a="1"/>
  <c r="BP48" i="2" s="1"/>
  <c r="BO48" i="2" a="1"/>
  <c r="BO48" i="2" s="1"/>
  <c r="BN48" i="2" a="1"/>
  <c r="BN48" i="2" s="1"/>
  <c r="BM48" i="2" a="1"/>
  <c r="BM48" i="2" s="1"/>
  <c r="BL48" i="2" a="1"/>
  <c r="BL48" i="2" s="1"/>
  <c r="BK48" i="2" a="1"/>
  <c r="BK48" i="2" s="1"/>
  <c r="BJ48" i="2" a="1"/>
  <c r="BJ48" i="2" s="1"/>
  <c r="BI48" i="2" a="1"/>
  <c r="BI48" i="2" s="1"/>
  <c r="BU29" i="2" a="1"/>
  <c r="BU29" i="2" s="1"/>
  <c r="BT29" i="2" a="1"/>
  <c r="BT29" i="2" s="1"/>
  <c r="BS29" i="2" a="1"/>
  <c r="BS29" i="2" s="1"/>
  <c r="BR29" i="2" a="1"/>
  <c r="BR29" i="2" s="1"/>
  <c r="BQ29" i="2" a="1"/>
  <c r="BQ29" i="2" s="1"/>
  <c r="BP29" i="2" a="1"/>
  <c r="BP29" i="2" s="1"/>
  <c r="BO29" i="2" a="1"/>
  <c r="BO29" i="2" s="1"/>
  <c r="BN29" i="2" a="1"/>
  <c r="BN29" i="2" s="1"/>
  <c r="BM29" i="2" a="1"/>
  <c r="BM29" i="2" s="1"/>
  <c r="BL29" i="2" a="1"/>
  <c r="BL29" i="2" s="1"/>
  <c r="BK29" i="2" a="1"/>
  <c r="BK29" i="2" s="1"/>
  <c r="BJ29" i="2" a="1"/>
  <c r="BJ29" i="2" s="1"/>
  <c r="BI29" i="2" a="1"/>
  <c r="BI29" i="2" s="1"/>
  <c r="BU10" i="2" a="1"/>
  <c r="BU10" i="2" s="1"/>
  <c r="BT10" i="2" a="1"/>
  <c r="BT10" i="2" s="1"/>
  <c r="BS10" i="2" a="1"/>
  <c r="BS10" i="2" s="1"/>
  <c r="BR10" i="2" a="1"/>
  <c r="BR10" i="2" s="1"/>
  <c r="BQ10" i="2" a="1"/>
  <c r="BQ10" i="2" s="1"/>
  <c r="BP10" i="2" a="1"/>
  <c r="BP10" i="2" s="1"/>
  <c r="BO10" i="2" a="1"/>
  <c r="BO10" i="2" s="1"/>
  <c r="BN10" i="2" a="1"/>
  <c r="BN10" i="2" s="1"/>
  <c r="BM10" i="2" a="1"/>
  <c r="BM10" i="2" s="1"/>
  <c r="BL10" i="2" a="1"/>
  <c r="BL10" i="2" s="1"/>
  <c r="BK10" i="2" a="1"/>
  <c r="BK10" i="2" s="1"/>
  <c r="BJ10" i="2" a="1"/>
  <c r="BJ10" i="2" s="1"/>
  <c r="BI10" i="2" a="1"/>
  <c r="BI10" i="2" s="1"/>
  <c r="BW6" i="2"/>
  <c r="AQ35" i="4" l="1"/>
  <c r="N40" i="5"/>
  <c r="AP33" i="4"/>
  <c r="AQ33" i="4"/>
  <c r="AQ31" i="4"/>
  <c r="AP31" i="4"/>
  <c r="AQ29" i="4"/>
  <c r="AP29" i="4"/>
  <c r="AQ30" i="4"/>
  <c r="AP30" i="4"/>
  <c r="AQ32" i="4"/>
  <c r="AP32" i="4"/>
  <c r="AJ33" i="4"/>
  <c r="I39" i="5" a="1"/>
  <c r="I39" i="5" s="1"/>
  <c r="AI33" i="4" s="1"/>
  <c r="AJ32" i="4"/>
  <c r="I38" i="5" a="1"/>
  <c r="I38" i="5" s="1"/>
  <c r="AI32" i="4" s="1"/>
  <c r="F40" i="5"/>
  <c r="AJ35" i="4"/>
  <c r="J40" i="5"/>
  <c r="AJ29" i="4"/>
  <c r="AI29" i="4"/>
  <c r="AJ31" i="4"/>
  <c r="AI31" i="4"/>
  <c r="AJ30" i="4"/>
  <c r="AI30" i="4"/>
  <c r="AJ17" i="4"/>
  <c r="E36" i="5" a="1"/>
  <c r="E36" i="5" s="1"/>
  <c r="AI17" i="4" s="1"/>
  <c r="AJ18" i="4"/>
  <c r="E37" i="5" a="1"/>
  <c r="E37" i="5" s="1"/>
  <c r="AI18" i="4" s="1"/>
  <c r="AJ16" i="4"/>
  <c r="E35" i="5" a="1"/>
  <c r="E35" i="5" s="1"/>
  <c r="AI16" i="4" s="1"/>
  <c r="AJ22" i="4"/>
  <c r="AB23" i="4"/>
  <c r="AB24" i="4"/>
  <c r="AB17" i="4"/>
  <c r="AB28" i="4"/>
  <c r="AB16" i="4"/>
  <c r="AD22" i="4"/>
  <c r="AD32" i="4"/>
  <c r="AD41" i="4"/>
  <c r="AD30" i="4"/>
  <c r="AD14" i="4"/>
  <c r="AD17" i="4"/>
  <c r="AD16" i="4"/>
  <c r="AD24" i="4"/>
  <c r="AD25" i="4"/>
  <c r="AD20" i="4"/>
  <c r="AD23" i="4"/>
  <c r="AD36" i="4"/>
  <c r="AD40" i="4"/>
  <c r="AD38" i="4"/>
  <c r="AD37" i="4"/>
  <c r="AD31" i="4"/>
  <c r="AD27" i="4"/>
  <c r="AD29" i="4"/>
  <c r="AD35" i="4"/>
  <c r="AD39" i="4"/>
  <c r="AD28" i="4"/>
  <c r="AC15" i="4"/>
  <c r="AD15" i="4"/>
  <c r="AC21" i="4"/>
  <c r="AD21" i="4"/>
  <c r="AC26" i="4"/>
  <c r="AD26" i="4"/>
  <c r="AC30" i="4"/>
  <c r="AC14" i="4"/>
  <c r="AC17" i="4"/>
  <c r="AC22" i="4"/>
  <c r="AC16" i="4"/>
  <c r="AC25" i="4"/>
  <c r="AC20" i="4"/>
  <c r="AC23" i="4"/>
  <c r="AC24" i="4"/>
  <c r="AC32" i="4"/>
  <c r="AC36" i="4"/>
  <c r="AC40" i="4"/>
  <c r="AC38" i="4"/>
  <c r="AC37" i="4"/>
  <c r="AC31" i="4"/>
  <c r="AC27" i="4"/>
  <c r="AC41" i="4"/>
  <c r="AC29" i="4"/>
  <c r="AC35" i="4"/>
  <c r="AC39" i="4"/>
  <c r="AC28" i="4"/>
  <c r="AB38" i="4"/>
  <c r="AB14" i="4"/>
  <c r="AB22" i="4"/>
  <c r="AB32" i="4"/>
  <c r="AB25" i="4"/>
  <c r="AB26" i="4"/>
  <c r="AB41" i="4"/>
  <c r="AB27" i="4"/>
  <c r="AB29" i="4"/>
  <c r="AB31" i="4"/>
  <c r="AB35" i="4"/>
  <c r="AB15" i="4"/>
  <c r="AB21" i="4"/>
  <c r="AB20" i="4"/>
  <c r="AB36" i="4"/>
  <c r="AB30" i="4"/>
  <c r="AB37" i="4"/>
  <c r="AB40" i="4"/>
  <c r="AB39" i="4"/>
  <c r="J18" i="4" a="1"/>
  <c r="J18" i="4" s="1"/>
  <c r="CI48" i="2" a="1"/>
  <c r="CI48" i="2" s="1"/>
  <c r="CH48" i="2" a="1"/>
  <c r="CH48" i="2" s="1"/>
  <c r="CG48" i="2" a="1"/>
  <c r="CG48" i="2" s="1"/>
  <c r="CF48" i="2" a="1"/>
  <c r="CF48" i="2" s="1"/>
  <c r="CE48" i="2" a="1"/>
  <c r="CE48" i="2" s="1"/>
  <c r="CD48" i="2" a="1"/>
  <c r="CD48" i="2" s="1"/>
  <c r="CC48" i="2" a="1"/>
  <c r="CC48" i="2" s="1"/>
  <c r="CB48" i="2" a="1"/>
  <c r="CB48" i="2" s="1"/>
  <c r="CA48" i="2" a="1"/>
  <c r="CA48" i="2" s="1"/>
  <c r="BZ48" i="2" a="1"/>
  <c r="BZ48" i="2" s="1"/>
  <c r="BY48" i="2" a="1"/>
  <c r="BY48" i="2" s="1"/>
  <c r="BX48" i="2" a="1"/>
  <c r="BX48" i="2" s="1"/>
  <c r="BW48" i="2" a="1"/>
  <c r="BW48" i="2" s="1"/>
  <c r="CI29" i="2" a="1"/>
  <c r="CI29" i="2" s="1"/>
  <c r="CH29" i="2" a="1"/>
  <c r="CH29" i="2" s="1"/>
  <c r="CG29" i="2" a="1"/>
  <c r="CG29" i="2" s="1"/>
  <c r="CF29" i="2" a="1"/>
  <c r="CF29" i="2" s="1"/>
  <c r="CE29" i="2" a="1"/>
  <c r="CE29" i="2" s="1"/>
  <c r="CD29" i="2" a="1"/>
  <c r="CD29" i="2" s="1"/>
  <c r="CC29" i="2" a="1"/>
  <c r="CC29" i="2" s="1"/>
  <c r="CB29" i="2" a="1"/>
  <c r="CB29" i="2" s="1"/>
  <c r="CA29" i="2" a="1"/>
  <c r="CA29" i="2" s="1"/>
  <c r="BZ29" i="2" a="1"/>
  <c r="BZ29" i="2" s="1"/>
  <c r="BY29" i="2" a="1"/>
  <c r="BY29" i="2" s="1"/>
  <c r="BX29" i="2" a="1"/>
  <c r="BX29" i="2" s="1"/>
  <c r="BW29" i="2" a="1"/>
  <c r="BW29" i="2" s="1"/>
  <c r="CI10" i="2" a="1"/>
  <c r="CI10" i="2" s="1"/>
  <c r="CH10" i="2" a="1"/>
  <c r="CH10" i="2" s="1"/>
  <c r="CG10" i="2" a="1"/>
  <c r="CG10" i="2" s="1"/>
  <c r="CF10" i="2" a="1"/>
  <c r="CF10" i="2" s="1"/>
  <c r="CE10" i="2" a="1"/>
  <c r="CE10" i="2" s="1"/>
  <c r="CD10" i="2" a="1"/>
  <c r="CD10" i="2" s="1"/>
  <c r="CC10" i="2" a="1"/>
  <c r="CC10" i="2" s="1"/>
  <c r="CB10" i="2" a="1"/>
  <c r="CB10" i="2" s="1"/>
  <c r="CA10" i="2" a="1"/>
  <c r="CA10" i="2" s="1"/>
  <c r="BZ10" i="2" a="1"/>
  <c r="BZ10" i="2" s="1"/>
  <c r="BY10" i="2" a="1"/>
  <c r="BY10" i="2" s="1"/>
  <c r="BX10" i="2" a="1"/>
  <c r="BX10" i="2" s="1"/>
  <c r="BW10" i="2" a="1"/>
  <c r="BW10" i="2" s="1"/>
  <c r="CK6" i="2"/>
  <c r="AQ34" i="4" l="1"/>
  <c r="M40" i="5"/>
  <c r="AJ34" i="4"/>
  <c r="I40" i="5"/>
  <c r="AI34" i="4" s="1"/>
  <c r="AJ21" i="4"/>
  <c r="E40" i="5"/>
  <c r="AI21" i="4" s="1"/>
  <c r="J19" i="4" a="1"/>
  <c r="J19" i="4" s="1"/>
  <c r="CW48" i="2" a="1"/>
  <c r="CW48" i="2" s="1"/>
  <c r="CV48" i="2" a="1"/>
  <c r="CV48" i="2" s="1"/>
  <c r="CU48" i="2" a="1"/>
  <c r="CU48" i="2" s="1"/>
  <c r="CT48" i="2" a="1"/>
  <c r="CT48" i="2" s="1"/>
  <c r="CS48" i="2" a="1"/>
  <c r="CS48" i="2" s="1"/>
  <c r="CR48" i="2" a="1"/>
  <c r="CR48" i="2" s="1"/>
  <c r="CQ48" i="2" a="1"/>
  <c r="CQ48" i="2" s="1"/>
  <c r="CP48" i="2" a="1"/>
  <c r="CP48" i="2" s="1"/>
  <c r="CO48" i="2" a="1"/>
  <c r="CO48" i="2" s="1"/>
  <c r="CN48" i="2" a="1"/>
  <c r="CN48" i="2" s="1"/>
  <c r="CM48" i="2" a="1"/>
  <c r="CM48" i="2" s="1"/>
  <c r="CL48" i="2" a="1"/>
  <c r="CL48" i="2" s="1"/>
  <c r="CK48" i="2" a="1"/>
  <c r="CK48" i="2" s="1"/>
  <c r="CW29" i="2" a="1"/>
  <c r="CW29" i="2" s="1"/>
  <c r="CV29" i="2" a="1"/>
  <c r="CV29" i="2" s="1"/>
  <c r="CU29" i="2" a="1"/>
  <c r="CU29" i="2" s="1"/>
  <c r="CT29" i="2" a="1"/>
  <c r="CT29" i="2" s="1"/>
  <c r="CS29" i="2" a="1"/>
  <c r="CS29" i="2" s="1"/>
  <c r="CR29" i="2" a="1"/>
  <c r="CR29" i="2" s="1"/>
  <c r="CQ29" i="2" a="1"/>
  <c r="CQ29" i="2" s="1"/>
  <c r="CP29" i="2" a="1"/>
  <c r="CP29" i="2" s="1"/>
  <c r="CO29" i="2" a="1"/>
  <c r="CO29" i="2" s="1"/>
  <c r="CN29" i="2" a="1"/>
  <c r="CN29" i="2" s="1"/>
  <c r="CM29" i="2" a="1"/>
  <c r="CM29" i="2" s="1"/>
  <c r="CL29" i="2" a="1"/>
  <c r="CL29" i="2" s="1"/>
  <c r="CK29" i="2" a="1"/>
  <c r="CK29" i="2" s="1"/>
  <c r="CW10" i="2" a="1"/>
  <c r="CW10" i="2" s="1"/>
  <c r="CV10" i="2" a="1"/>
  <c r="CV10" i="2" s="1"/>
  <c r="CU10" i="2" a="1"/>
  <c r="CU10" i="2" s="1"/>
  <c r="CT10" i="2" a="1"/>
  <c r="CT10" i="2" s="1"/>
  <c r="CS10" i="2" a="1"/>
  <c r="CS10" i="2" s="1"/>
  <c r="CR10" i="2" a="1"/>
  <c r="CR10" i="2" s="1"/>
  <c r="CQ10" i="2" a="1"/>
  <c r="CQ10" i="2" s="1"/>
  <c r="CP10" i="2" a="1"/>
  <c r="CP10" i="2" s="1"/>
  <c r="CO10" i="2" a="1"/>
  <c r="CO10" i="2" s="1"/>
  <c r="CN10" i="2" a="1"/>
  <c r="CN10" i="2" s="1"/>
  <c r="CM10" i="2" a="1"/>
  <c r="CM10" i="2" s="1"/>
  <c r="CL10" i="2" a="1"/>
  <c r="CL10" i="2" s="1"/>
  <c r="CK10" i="2" a="1"/>
  <c r="CK10" i="2" s="1"/>
  <c r="CY6" i="2"/>
  <c r="AP34" i="4" l="1"/>
  <c r="J20" i="4" a="1"/>
  <c r="J20" i="4" s="1"/>
  <c r="DM6" i="2"/>
  <c r="DK48" i="2" a="1"/>
  <c r="DK48" i="2" s="1"/>
  <c r="DJ48" i="2" a="1"/>
  <c r="DJ48" i="2" s="1"/>
  <c r="DI48" i="2" a="1"/>
  <c r="DI48" i="2" s="1"/>
  <c r="DH48" i="2" a="1"/>
  <c r="DH48" i="2" s="1"/>
  <c r="DG48" i="2" a="1"/>
  <c r="DG48" i="2" s="1"/>
  <c r="DF48" i="2" a="1"/>
  <c r="DF48" i="2" s="1"/>
  <c r="DE48" i="2" a="1"/>
  <c r="DE48" i="2" s="1"/>
  <c r="DD48" i="2" a="1"/>
  <c r="DD48" i="2" s="1"/>
  <c r="DC48" i="2" a="1"/>
  <c r="DC48" i="2" s="1"/>
  <c r="DB48" i="2" a="1"/>
  <c r="DB48" i="2" s="1"/>
  <c r="DA48" i="2" a="1"/>
  <c r="DA48" i="2" s="1"/>
  <c r="CZ48" i="2" a="1"/>
  <c r="CZ48" i="2" s="1"/>
  <c r="CY48" i="2" a="1"/>
  <c r="CY48" i="2" s="1"/>
  <c r="DK29" i="2" a="1"/>
  <c r="DK29" i="2" s="1"/>
  <c r="DJ29" i="2" a="1"/>
  <c r="DJ29" i="2" s="1"/>
  <c r="DI29" i="2" a="1"/>
  <c r="DI29" i="2" s="1"/>
  <c r="DH29" i="2" a="1"/>
  <c r="DH29" i="2" s="1"/>
  <c r="DG29" i="2" a="1"/>
  <c r="DG29" i="2" s="1"/>
  <c r="DF29" i="2" a="1"/>
  <c r="DF29" i="2" s="1"/>
  <c r="DE29" i="2" a="1"/>
  <c r="DE29" i="2" s="1"/>
  <c r="DD29" i="2" a="1"/>
  <c r="DD29" i="2" s="1"/>
  <c r="DC29" i="2" a="1"/>
  <c r="DC29" i="2" s="1"/>
  <c r="DB29" i="2" a="1"/>
  <c r="DB29" i="2" s="1"/>
  <c r="DA29" i="2" a="1"/>
  <c r="DA29" i="2" s="1"/>
  <c r="CZ29" i="2" a="1"/>
  <c r="CZ29" i="2" s="1"/>
  <c r="CY29" i="2" a="1"/>
  <c r="CY29" i="2" s="1"/>
  <c r="DK10" i="2" a="1"/>
  <c r="DK10" i="2" s="1"/>
  <c r="DJ10" i="2" a="1"/>
  <c r="DJ10" i="2" s="1"/>
  <c r="DI10" i="2" a="1"/>
  <c r="DI10" i="2" s="1"/>
  <c r="DH10" i="2" a="1"/>
  <c r="DH10" i="2" s="1"/>
  <c r="DG10" i="2" a="1"/>
  <c r="DG10" i="2" s="1"/>
  <c r="DF10" i="2" a="1"/>
  <c r="DF10" i="2" s="1"/>
  <c r="DE10" i="2" a="1"/>
  <c r="DE10" i="2" s="1"/>
  <c r="DD10" i="2" a="1"/>
  <c r="DD10" i="2" s="1"/>
  <c r="DC10" i="2" a="1"/>
  <c r="DC10" i="2" s="1"/>
  <c r="DB10" i="2" a="1"/>
  <c r="DB10" i="2" s="1"/>
  <c r="DA10" i="2" a="1"/>
  <c r="DA10" i="2" s="1"/>
  <c r="CZ10" i="2" a="1"/>
  <c r="CZ10" i="2" s="1"/>
  <c r="CY10" i="2" a="1"/>
  <c r="CY10" i="2" s="1"/>
  <c r="J21" i="4" l="1" a="1"/>
  <c r="J21" i="4" s="1"/>
  <c r="EA6" i="2"/>
  <c r="DY10" i="2" a="1"/>
  <c r="DY10" i="2" s="1"/>
  <c r="DX10" i="2" a="1"/>
  <c r="DX10" i="2" s="1"/>
  <c r="DU10" i="2" a="1"/>
  <c r="DU10" i="2" s="1"/>
  <c r="DS10" i="2" a="1"/>
  <c r="DS10" i="2" s="1"/>
  <c r="DO10" i="2" a="1"/>
  <c r="DO10" i="2" s="1"/>
  <c r="DM10" i="2" a="1"/>
  <c r="DM10" i="2" s="1"/>
  <c r="DV10" i="2" a="1"/>
  <c r="DV10" i="2" s="1"/>
  <c r="DT10" i="2" a="1"/>
  <c r="DT10" i="2" s="1"/>
  <c r="DQ10" i="2" a="1"/>
  <c r="DQ10" i="2" s="1"/>
  <c r="DN10" i="2" a="1"/>
  <c r="DN10" i="2" s="1"/>
  <c r="DY48" i="2" a="1"/>
  <c r="DY48" i="2" s="1"/>
  <c r="DX48" i="2" a="1"/>
  <c r="DX48" i="2" s="1"/>
  <c r="DW48" i="2" a="1"/>
  <c r="DW48" i="2" s="1"/>
  <c r="DV48" i="2" a="1"/>
  <c r="DV48" i="2" s="1"/>
  <c r="DU48" i="2" a="1"/>
  <c r="DU48" i="2" s="1"/>
  <c r="DT48" i="2" a="1"/>
  <c r="DT48" i="2" s="1"/>
  <c r="DS48" i="2" a="1"/>
  <c r="DS48" i="2" s="1"/>
  <c r="DR48" i="2" a="1"/>
  <c r="DR48" i="2" s="1"/>
  <c r="DQ48" i="2" a="1"/>
  <c r="DQ48" i="2" s="1"/>
  <c r="DP48" i="2" a="1"/>
  <c r="DP48" i="2" s="1"/>
  <c r="DO48" i="2" a="1"/>
  <c r="DO48" i="2" s="1"/>
  <c r="DN48" i="2" a="1"/>
  <c r="DN48" i="2" s="1"/>
  <c r="DM48" i="2" a="1"/>
  <c r="DM48" i="2" s="1"/>
  <c r="DY29" i="2" a="1"/>
  <c r="DY29" i="2" s="1"/>
  <c r="DX29" i="2" a="1"/>
  <c r="DX29" i="2" s="1"/>
  <c r="DW29" i="2" a="1"/>
  <c r="DW29" i="2" s="1"/>
  <c r="DV29" i="2" a="1"/>
  <c r="DV29" i="2" s="1"/>
  <c r="DU29" i="2" a="1"/>
  <c r="DU29" i="2" s="1"/>
  <c r="DT29" i="2" a="1"/>
  <c r="DT29" i="2" s="1"/>
  <c r="DS29" i="2" a="1"/>
  <c r="DS29" i="2" s="1"/>
  <c r="DR29" i="2" a="1"/>
  <c r="DR29" i="2" s="1"/>
  <c r="DQ29" i="2" a="1"/>
  <c r="DQ29" i="2" s="1"/>
  <c r="DP29" i="2" a="1"/>
  <c r="DP29" i="2" s="1"/>
  <c r="DO29" i="2" a="1"/>
  <c r="DO29" i="2" s="1"/>
  <c r="DN29" i="2" a="1"/>
  <c r="DN29" i="2" s="1"/>
  <c r="DM29" i="2" a="1"/>
  <c r="DM29" i="2" s="1"/>
  <c r="DW10" i="2" a="1"/>
  <c r="DW10" i="2" s="1"/>
  <c r="DR10" i="2" a="1"/>
  <c r="DR10" i="2" s="1"/>
  <c r="DP10" i="2" a="1"/>
  <c r="DP10" i="2" s="1"/>
  <c r="J22" i="4" l="1" a="1"/>
  <c r="J22" i="4" s="1"/>
  <c r="EO6" i="2"/>
  <c r="EK48" i="2" a="1"/>
  <c r="EK48" i="2" s="1"/>
  <c r="EG48" i="2" a="1"/>
  <c r="EG48" i="2" s="1"/>
  <c r="ED48" i="2" a="1"/>
  <c r="ED48" i="2" s="1"/>
  <c r="EB48" i="2" a="1"/>
  <c r="EB48" i="2" s="1"/>
  <c r="EE29" i="2" a="1"/>
  <c r="EE29" i="2" s="1"/>
  <c r="ED29" i="2" a="1"/>
  <c r="ED29" i="2" s="1"/>
  <c r="EA29" i="2" a="1"/>
  <c r="EA29" i="2" s="1"/>
  <c r="EM10" i="2" a="1"/>
  <c r="EM10" i="2" s="1"/>
  <c r="EJ10" i="2" a="1"/>
  <c r="EJ10" i="2" s="1"/>
  <c r="EG10" i="2" a="1"/>
  <c r="EG10" i="2" s="1"/>
  <c r="EC10" i="2" a="1"/>
  <c r="EC10" i="2" s="1"/>
  <c r="EB10" i="2" a="1"/>
  <c r="EB10" i="2" s="1"/>
  <c r="EL48" i="2" a="1"/>
  <c r="EL48" i="2" s="1"/>
  <c r="EH48" i="2" a="1"/>
  <c r="EH48" i="2" s="1"/>
  <c r="EE48" i="2" a="1"/>
  <c r="EE48" i="2" s="1"/>
  <c r="EC48" i="2" a="1"/>
  <c r="EC48" i="2" s="1"/>
  <c r="EA48" i="2" a="1"/>
  <c r="EA48" i="2" s="1"/>
  <c r="EL29" i="2" a="1"/>
  <c r="EL29" i="2" s="1"/>
  <c r="EJ29" i="2" a="1"/>
  <c r="EJ29" i="2" s="1"/>
  <c r="EH29" i="2" a="1"/>
  <c r="EH29" i="2" s="1"/>
  <c r="EF29" i="2" a="1"/>
  <c r="EF29" i="2" s="1"/>
  <c r="EB29" i="2" a="1"/>
  <c r="EB29" i="2" s="1"/>
  <c r="EL10" i="2" a="1"/>
  <c r="EL10" i="2" s="1"/>
  <c r="EH10" i="2" a="1"/>
  <c r="EH10" i="2" s="1"/>
  <c r="EF10" i="2" a="1"/>
  <c r="EF10" i="2" s="1"/>
  <c r="ED10" i="2" a="1"/>
  <c r="ED10" i="2" s="1"/>
  <c r="EA10" i="2" a="1"/>
  <c r="EA10" i="2" s="1"/>
  <c r="EM48" i="2" a="1"/>
  <c r="EM48" i="2" s="1"/>
  <c r="EJ48" i="2" a="1"/>
  <c r="EJ48" i="2" s="1"/>
  <c r="EI48" i="2" a="1"/>
  <c r="EI48" i="2" s="1"/>
  <c r="EF48" i="2" a="1"/>
  <c r="EF48" i="2" s="1"/>
  <c r="EM29" i="2" a="1"/>
  <c r="EM29" i="2" s="1"/>
  <c r="EK29" i="2" a="1"/>
  <c r="EK29" i="2" s="1"/>
  <c r="EI29" i="2" a="1"/>
  <c r="EI29" i="2" s="1"/>
  <c r="EG29" i="2" a="1"/>
  <c r="EG29" i="2" s="1"/>
  <c r="EC29" i="2" a="1"/>
  <c r="EC29" i="2" s="1"/>
  <c r="EK10" i="2" a="1"/>
  <c r="EK10" i="2" s="1"/>
  <c r="EI10" i="2" a="1"/>
  <c r="EI10" i="2" s="1"/>
  <c r="EE10" i="2" a="1"/>
  <c r="EE10" i="2" s="1"/>
  <c r="J23" i="4" l="1" a="1"/>
  <c r="J23" i="4" s="1"/>
  <c r="FA48" i="2" a="1"/>
  <c r="FA48" i="2" s="1"/>
  <c r="EX48" i="2" a="1"/>
  <c r="EX48" i="2" s="1"/>
  <c r="EV48" i="2" a="1"/>
  <c r="EV48" i="2" s="1"/>
  <c r="EU48" i="2" a="1"/>
  <c r="EU48" i="2" s="1"/>
  <c r="ER48" i="2" a="1"/>
  <c r="ER48" i="2" s="1"/>
  <c r="EP48" i="2" a="1"/>
  <c r="EP48" i="2" s="1"/>
  <c r="EZ29" i="2" a="1"/>
  <c r="EZ29" i="2" s="1"/>
  <c r="EX29" i="2" a="1"/>
  <c r="EX29" i="2" s="1"/>
  <c r="EV29" i="2" a="1"/>
  <c r="EV29" i="2" s="1"/>
  <c r="ET29" i="2" a="1"/>
  <c r="ET29" i="2" s="1"/>
  <c r="EO29" i="2" a="1"/>
  <c r="EO29" i="2" s="1"/>
  <c r="EZ48" i="2" a="1"/>
  <c r="EZ48" i="2" s="1"/>
  <c r="EY48" i="2" a="1"/>
  <c r="EY48" i="2" s="1"/>
  <c r="EW48" i="2" a="1"/>
  <c r="EW48" i="2" s="1"/>
  <c r="ET48" i="2" a="1"/>
  <c r="ET48" i="2" s="1"/>
  <c r="ES48" i="2" a="1"/>
  <c r="ES48" i="2" s="1"/>
  <c r="EQ48" i="2" a="1"/>
  <c r="EQ48" i="2" s="1"/>
  <c r="EO48" i="2" a="1"/>
  <c r="EO48" i="2" s="1"/>
  <c r="FA29" i="2" a="1"/>
  <c r="FA29" i="2" s="1"/>
  <c r="EY29" i="2" a="1"/>
  <c r="EY29" i="2" s="1"/>
  <c r="EW29" i="2" a="1"/>
  <c r="EW29" i="2" s="1"/>
  <c r="EU29" i="2" a="1"/>
  <c r="EU29" i="2" s="1"/>
  <c r="ES29" i="2" a="1"/>
  <c r="ES29" i="2" s="1"/>
  <c r="ER29" i="2" a="1"/>
  <c r="ER29" i="2" s="1"/>
  <c r="EQ29" i="2" a="1"/>
  <c r="EQ29" i="2" s="1"/>
  <c r="EP29" i="2" a="1"/>
  <c r="EP29" i="2" s="1"/>
  <c r="FA10" i="2" a="1"/>
  <c r="FA10" i="2" s="1"/>
  <c r="EZ10" i="2" a="1"/>
  <c r="EZ10" i="2" s="1"/>
  <c r="EY10" i="2" a="1"/>
  <c r="EY10" i="2" s="1"/>
  <c r="EX10" i="2" a="1"/>
  <c r="EX10" i="2" s="1"/>
  <c r="EW10" i="2" a="1"/>
  <c r="EW10" i="2" s="1"/>
  <c r="EV10" i="2" a="1"/>
  <c r="EV10" i="2" s="1"/>
  <c r="EU10" i="2" a="1"/>
  <c r="EU10" i="2" s="1"/>
  <c r="ET10" i="2" a="1"/>
  <c r="ET10" i="2" s="1"/>
  <c r="ES10" i="2" a="1"/>
  <c r="ES10" i="2" s="1"/>
  <c r="ER10" i="2" a="1"/>
  <c r="ER10" i="2" s="1"/>
  <c r="EQ10" i="2" a="1"/>
  <c r="EQ10" i="2" s="1"/>
  <c r="EP10" i="2" a="1"/>
  <c r="EP10" i="2" s="1"/>
  <c r="EO10" i="2" a="1"/>
  <c r="EO10" i="2" s="1"/>
  <c r="J24" i="4" l="1" a="1"/>
  <c r="J24" i="4" s="1"/>
  <c r="J25" i="4" l="1" a="1"/>
  <c r="J25" i="4" s="1"/>
  <c r="J26" i="4" l="1" a="1"/>
  <c r="J26" i="4" s="1"/>
  <c r="J27" i="4" l="1" a="1"/>
  <c r="J27" i="4" s="1"/>
  <c r="J28" i="4" l="1" a="1"/>
  <c r="J28" i="4" s="1"/>
  <c r="J29" i="4" l="1" a="1"/>
  <c r="J29" i="4" s="1"/>
  <c r="J30" i="4" l="1" a="1"/>
  <c r="J30" i="4" s="1"/>
  <c r="J31" i="4" l="1" a="1"/>
  <c r="J31" i="4" s="1"/>
  <c r="J32" i="4" l="1" a="1"/>
  <c r="J32" i="4" s="1"/>
  <c r="J33" i="4" l="1" a="1"/>
  <c r="J33" i="4" s="1"/>
  <c r="J34" i="4" l="1" a="1"/>
  <c r="J34" i="4" s="1"/>
  <c r="J35" i="4" l="1" a="1"/>
  <c r="J35" i="4" s="1"/>
  <c r="J36" i="4" l="1" a="1"/>
  <c r="J36" i="4" s="1"/>
  <c r="J37" i="4" l="1" a="1"/>
  <c r="J37" i="4" s="1"/>
  <c r="J38" i="4" l="1" a="1"/>
  <c r="J38" i="4" s="1"/>
  <c r="J39" i="4" l="1" a="1"/>
  <c r="J39" i="4" s="1"/>
  <c r="J40" i="4" l="1" a="1"/>
  <c r="J40" i="4" s="1"/>
  <c r="J41" i="4" l="1" a="1"/>
  <c r="J41" i="4" s="1"/>
  <c r="J42" i="4" l="1" a="1"/>
  <c r="J42" i="4" s="1"/>
  <c r="J43" i="4" l="1" a="1"/>
  <c r="J43" i="4" s="1"/>
  <c r="J44" i="4" l="1" a="1"/>
  <c r="J44" i="4" s="1"/>
  <c r="J45" i="4" l="1" a="1"/>
  <c r="J45" i="4" s="1"/>
  <c r="J46" i="4" l="1" a="1"/>
  <c r="J46" i="4" s="1"/>
  <c r="J47" i="4" l="1" a="1"/>
  <c r="J47" i="4" s="1"/>
  <c r="J48" i="4" l="1" a="1"/>
  <c r="J48" i="4" s="1"/>
  <c r="J49" i="4" l="1" a="1"/>
  <c r="J49" i="4" s="1"/>
  <c r="J50" i="4" l="1" a="1"/>
  <c r="J50" i="4" s="1"/>
  <c r="J51" i="4" l="1" a="1"/>
  <c r="J51" i="4" s="1"/>
  <c r="J52" i="4" l="1" a="1"/>
  <c r="J52" i="4" s="1"/>
  <c r="J53" i="4" l="1" a="1"/>
  <c r="J53" i="4" s="1"/>
  <c r="J54" i="4" l="1" a="1"/>
  <c r="J54" i="4" s="1"/>
  <c r="J55" i="4" l="1" a="1"/>
  <c r="J55" i="4" s="1"/>
  <c r="J56" i="4" l="1" a="1"/>
  <c r="J56" i="4" s="1"/>
  <c r="J57" i="4" l="1" a="1"/>
  <c r="J57" i="4" s="1"/>
  <c r="J58" i="4" l="1" a="1"/>
  <c r="J58" i="4" s="1"/>
  <c r="J59" i="4" l="1" a="1"/>
  <c r="J59" i="4" s="1"/>
  <c r="J60" i="4" l="1" a="1"/>
  <c r="J60" i="4" s="1"/>
  <c r="J61" i="4" l="1" a="1"/>
  <c r="J61" i="4" s="1"/>
  <c r="J62" i="4" l="1" a="1"/>
  <c r="J62" i="4" s="1"/>
  <c r="J63" i="4" l="1" a="1"/>
  <c r="J63" i="4" s="1"/>
  <c r="J64" i="4" l="1" a="1"/>
  <c r="J64" i="4" s="1"/>
  <c r="J65" i="4" l="1" a="1"/>
  <c r="J65" i="4" s="1"/>
  <c r="J66" i="4" l="1" a="1"/>
  <c r="J66" i="4" s="1"/>
  <c r="J67" i="4" l="1" a="1"/>
  <c r="J67" i="4" s="1"/>
  <c r="J68" i="4" l="1" a="1"/>
  <c r="J68" i="4" s="1"/>
  <c r="J69" i="4" a="1"/>
  <c r="J69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<sst xmlns="http://schemas.openxmlformats.org/spreadsheetml/2006/main" count="170" uniqueCount="108">
  <si>
    <t>Settings</t>
  </si>
  <si>
    <t>General</t>
  </si>
  <si>
    <t>Starting Year:</t>
  </si>
  <si>
    <t>Set the starting year (yyyy) once at the beginning and do not change it again</t>
  </si>
  <si>
    <t>Budget Planning</t>
  </si>
  <si>
    <t>To be allocated:</t>
  </si>
  <si>
    <t>Income</t>
  </si>
  <si>
    <t>Employment</t>
  </si>
  <si>
    <t>Side Hustle</t>
  </si>
  <si>
    <t>Enter Income Category</t>
  </si>
  <si>
    <t>Total</t>
  </si>
  <si>
    <t>Expenses</t>
  </si>
  <si>
    <t>Rent</t>
  </si>
  <si>
    <t>Transport</t>
  </si>
  <si>
    <t>Savings</t>
  </si>
  <si>
    <t>Gold</t>
  </si>
  <si>
    <t>Budget Tracking</t>
  </si>
  <si>
    <t>Budget Dashboard</t>
  </si>
  <si>
    <t>Calculations</t>
  </si>
  <si>
    <t>Dropdown Data</t>
  </si>
  <si>
    <t>Groceries</t>
  </si>
  <si>
    <t>Bank</t>
  </si>
  <si>
    <t>Insurance</t>
  </si>
  <si>
    <t>Interest</t>
  </si>
  <si>
    <t>Emergency Fund</t>
  </si>
  <si>
    <t>Utilities</t>
  </si>
  <si>
    <t>Clothing</t>
  </si>
  <si>
    <t>Cosmetics</t>
  </si>
  <si>
    <t>Medicine</t>
  </si>
  <si>
    <t>Media</t>
  </si>
  <si>
    <t>Fun &amp; Vacation</t>
  </si>
  <si>
    <t>Gifting</t>
  </si>
  <si>
    <t>Miscellaneous</t>
  </si>
  <si>
    <t>Retirement Fund</t>
  </si>
  <si>
    <t>Sinking Fund Down Payment</t>
  </si>
  <si>
    <t>Sinking Fund Future Payment</t>
  </si>
  <si>
    <t>Date</t>
  </si>
  <si>
    <t>Type</t>
  </si>
  <si>
    <t>Category</t>
  </si>
  <si>
    <t>Amount</t>
  </si>
  <si>
    <t>Details</t>
  </si>
  <si>
    <t>Balance</t>
  </si>
  <si>
    <t>Effective Date</t>
  </si>
  <si>
    <t>Budget Tracking &amp; Dashboard</t>
  </si>
  <si>
    <t>Late Monthly Income</t>
  </si>
  <si>
    <t>Shift late income:</t>
  </si>
  <si>
    <t>Active</t>
  </si>
  <si>
    <t>Starting on day x in month:</t>
  </si>
  <si>
    <t>Activate this option to treat late income received on or after a certain day of the month as income for the next month. This is especially recommended in case you receive your monthly paycheck towards the en d of the month and prefer to consider this income as disposable income.</t>
  </si>
  <si>
    <t>Worksheet: Budget Tracking</t>
  </si>
  <si>
    <t>Today:</t>
  </si>
  <si>
    <t>Last Record:</t>
  </si>
  <si>
    <t>Delta Last Record:</t>
  </si>
  <si>
    <t># Records:</t>
  </si>
  <si>
    <t># Records this year:</t>
  </si>
  <si>
    <t>Tracking Balance:</t>
  </si>
  <si>
    <t>Balance Analysis Test:</t>
  </si>
  <si>
    <t>Year</t>
  </si>
  <si>
    <t>Select the year to view -&gt;</t>
  </si>
  <si>
    <t>Period</t>
  </si>
  <si>
    <t>Select the period to view -&gt;</t>
  </si>
  <si>
    <t>Year Dropdown</t>
  </si>
  <si>
    <t>?</t>
  </si>
  <si>
    <t>Current Year</t>
  </si>
  <si>
    <t>Period Dropdown</t>
  </si>
  <si>
    <t>Total Year</t>
  </si>
  <si>
    <t>Current Month</t>
  </si>
  <si>
    <t>Worksheet: Budget Dashboard</t>
  </si>
  <si>
    <t>Selected Year:</t>
  </si>
  <si>
    <t>Selected Period:</t>
  </si>
  <si>
    <t>Selected Period Display:</t>
  </si>
  <si>
    <t>row_id</t>
  </si>
  <si>
    <t>header_row_id</t>
  </si>
  <si>
    <t>is_header</t>
  </si>
  <si>
    <t>is_cat</t>
  </si>
  <si>
    <t>is_empty</t>
  </si>
  <si>
    <t>is_total</t>
  </si>
  <si>
    <t>type</t>
  </si>
  <si>
    <t>item</t>
  </si>
  <si>
    <t>tracked</t>
  </si>
  <si>
    <t>budget</t>
  </si>
  <si>
    <t>sort_min_row</t>
  </si>
  <si>
    <t>sort_max_row</t>
  </si>
  <si>
    <t>tracked_range</t>
  </si>
  <si>
    <t>tracked_rank</t>
  </si>
  <si>
    <t>budget_range</t>
  </si>
  <si>
    <t>budget_rank</t>
  </si>
  <si>
    <t>comb_rank</t>
  </si>
  <si>
    <t>comb_rank_range</t>
  </si>
  <si>
    <t>comb_rank_norm</t>
  </si>
  <si>
    <t>comb_rank_norm_run_range</t>
  </si>
  <si>
    <t>comb_rank_unique</t>
  </si>
  <si>
    <t>sorted_row_id [Lookup]</t>
  </si>
  <si>
    <r>
      <rPr>
        <b/>
        <sz val="12"/>
        <color theme="4"/>
        <rFont val="Calibri"/>
        <family val="2"/>
      </rPr>
      <t>Chart Calculations</t>
    </r>
    <r>
      <rPr>
        <sz val="12"/>
        <color theme="4"/>
        <rFont val="Calibri"/>
        <family val="2"/>
      </rPr>
      <t>: Category Distribution Charts</t>
    </r>
  </si>
  <si>
    <r>
      <rPr>
        <b/>
        <sz val="12"/>
        <color theme="4"/>
        <rFont val="Calibri"/>
        <family val="2"/>
      </rPr>
      <t>Chart Calculations</t>
    </r>
    <r>
      <rPr>
        <sz val="12"/>
        <color theme="4"/>
        <rFont val="Calibri"/>
        <family val="2"/>
      </rPr>
      <t>: Tracked (vs. Budget) chart</t>
    </r>
  </si>
  <si>
    <t>Month</t>
  </si>
  <si>
    <t>Month Num.</t>
  </si>
  <si>
    <t>In Focus</t>
  </si>
  <si>
    <t>Show Type</t>
  </si>
  <si>
    <t>Show Rem. Budget</t>
  </si>
  <si>
    <t>Tracked</t>
  </si>
  <si>
    <t>Budget</t>
  </si>
  <si>
    <t>Delta</t>
  </si>
  <si>
    <t>Period in Focus</t>
  </si>
  <si>
    <t>In Budget</t>
  </si>
  <si>
    <t>Remaining</t>
  </si>
  <si>
    <t>Excess</t>
  </si>
  <si>
    <t>Period not in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</si>
</sst>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5" formatCode="&quot;₹&quot;#,##0_);\(&quot;₹&quot;#,##0\)"/>
    <numFmt numFmtId="44" formatCode="_(&quot;₹&quot;* #,##0.00_);_(&quot;₹&quot;* \(#,##0.00\);_(&quot;₹&quot;* &quot;-&quot;??_);_(@_)"/>
    <numFmt numFmtId="43" formatCode="_(* #,##0.00_);_(* \(#,##0.00\);_(* &quot;-&quot;??_);_(@_)"/>
    <numFmt numFmtId="164" formatCode="&quot; &quot;* #,##0.00&quot; &quot;;&quot; &quot;* \(#,##0.00\);&quot; &quot;* &quot;-&quot;??&quot; &quot;"/>
    <numFmt numFmtId="165" formatCode="mmm"/>
    <numFmt numFmtId="166" formatCode="d\-mmm\-yy"/>
    <numFmt numFmtId="167" formatCode="mmmm"/>
    <numFmt numFmtId="168" formatCode="&quot;₹&quot;#,##0"/>
  </numFmts>
  <fonts count="26" x14ac:knownFonts="1">
    <font>
      <sz val="12"/>
      <color indexed="8"/>
      <name val="Calibri"/>
    </font>
    <font>
      <b/>
      <sz val="22"/>
      <color indexed="9"/>
      <name val="Calibri"/>
      <family val="2"/>
    </font>
    <font>
      <b/>
      <sz val="12"/>
      <color indexed="9"/>
      <name val="Calibri"/>
      <family val="2"/>
    </font>
    <font>
      <b/>
      <sz val="12"/>
      <color indexed="8"/>
      <name val="Calibri"/>
      <family val="2"/>
    </font>
    <font>
      <i/>
      <sz val="9"/>
      <color indexed="13"/>
      <name val="Calibri"/>
      <family val="2"/>
    </font>
    <font>
      <i/>
      <sz val="11"/>
      <color indexed="8"/>
      <name val="Calibri"/>
      <family val="2"/>
    </font>
    <font>
      <sz val="12"/>
      <color indexed="14"/>
      <name val="Calibri"/>
      <family val="2"/>
    </font>
    <font>
      <b/>
      <sz val="12"/>
      <color indexed="9"/>
      <name val="Calibri"/>
      <family val="2"/>
    </font>
    <font>
      <b/>
      <sz val="12"/>
      <color indexed="8"/>
      <name val="Calibri"/>
      <family val="2"/>
    </font>
    <font>
      <sz val="11"/>
      <color theme="0" tint="-0.34998626667073579"/>
      <name val="Calibri"/>
      <family val="2"/>
    </font>
    <font>
      <sz val="12"/>
      <color theme="0" tint="-0.34998626667073579"/>
      <name val="Calibri"/>
      <family val="2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12"/>
      <color theme="3" tint="-0.499984740745262"/>
      <name val="Calibri"/>
      <family val="2"/>
    </font>
    <font>
      <b/>
      <sz val="12"/>
      <color rgb="FF7030A0"/>
      <name val="Calibri"/>
      <family val="2"/>
    </font>
    <font>
      <i/>
      <sz val="9"/>
      <color indexed="13"/>
      <name val="Calibri"/>
      <family val="2"/>
    </font>
    <font>
      <b/>
      <sz val="12"/>
      <color theme="0"/>
      <name val="Calibri"/>
      <family val="2"/>
    </font>
    <font>
      <sz val="10"/>
      <color theme="0" tint="-0.249977111117893"/>
      <name val="Calibri"/>
      <family val="2"/>
    </font>
    <font>
      <sz val="9"/>
      <color indexed="8"/>
      <name val="Calibri"/>
      <family val="2"/>
    </font>
    <font>
      <sz val="12"/>
      <color indexed="8"/>
      <name val="Calibri"/>
    </font>
    <font>
      <sz val="10"/>
      <color theme="3" tint="-0.499984740745262"/>
      <name val="Calibri"/>
      <family val="2"/>
    </font>
    <font>
      <sz val="11"/>
      <color indexed="8"/>
      <name val="Calibri"/>
      <family val="2"/>
    </font>
    <font>
      <sz val="12"/>
      <color theme="4"/>
      <name val="Calibri"/>
      <family val="2"/>
    </font>
    <font>
      <b/>
      <sz val="12"/>
      <color theme="4"/>
      <name val="Calibri"/>
      <family val="2"/>
    </font>
    <font>
      <sz val="8"/>
      <name val="Calibri"/>
      <family val="2"/>
    </font>
    <font>
      <b/>
      <sz val="10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14"/>
      </bottom>
      <diagonal/>
    </border>
    <border>
      <left/>
      <right/>
      <top style="thin">
        <color indexed="8"/>
      </top>
      <bottom style="thin">
        <color indexed="14"/>
      </bottom>
      <diagonal/>
    </border>
    <border>
      <left/>
      <right style="thin">
        <color indexed="8"/>
      </right>
      <top style="thin">
        <color indexed="8"/>
      </top>
      <bottom style="thin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/>
      <diagonal/>
    </border>
    <border>
      <left/>
      <right/>
      <top style="thin">
        <color indexed="14"/>
      </top>
      <bottom/>
      <diagonal/>
    </border>
    <border>
      <left/>
      <right/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/>
      <top/>
      <bottom style="dotted">
        <color theme="0" tint="-0.24994659260841701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 style="thin">
        <color theme="0" tint="-0.1498458815271462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/>
      <right/>
      <top style="hair">
        <color auto="1"/>
      </top>
      <bottom/>
      <diagonal/>
    </border>
  </borders>
  <cellStyleXfs count="3">
    <xf numFmtId="0" fontId="0" fillId="0" borderId="0" applyNumberFormat="0" applyFill="0" applyBorder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NumberFormat="1"/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4" borderId="4" xfId="0" applyNumberForma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5" xfId="0" applyBorder="1"/>
    <xf numFmtId="0" fontId="3" fillId="2" borderId="16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right"/>
    </xf>
    <xf numFmtId="164" fontId="0" fillId="2" borderId="16" xfId="0" applyNumberFormat="1" applyFill="1" applyBorder="1" applyAlignment="1">
      <alignment horizontal="center" vertical="center"/>
    </xf>
    <xf numFmtId="0" fontId="0" fillId="0" borderId="18" xfId="0" applyBorder="1"/>
    <xf numFmtId="0" fontId="0" fillId="0" borderId="9" xfId="0" applyBorder="1"/>
    <xf numFmtId="165" fontId="2" fillId="5" borderId="19" xfId="0" applyNumberFormat="1" applyFont="1" applyFill="1" applyBorder="1" applyAlignment="1">
      <alignment horizontal="center"/>
    </xf>
    <xf numFmtId="0" fontId="2" fillId="5" borderId="19" xfId="0" applyNumberFormat="1" applyFont="1" applyFill="1" applyBorder="1" applyAlignment="1">
      <alignment horizontal="center"/>
    </xf>
    <xf numFmtId="0" fontId="6" fillId="0" borderId="17" xfId="0" applyFont="1" applyBorder="1"/>
    <xf numFmtId="0" fontId="6" fillId="0" borderId="15" xfId="0" applyFont="1" applyBorder="1"/>
    <xf numFmtId="49" fontId="8" fillId="2" borderId="4" xfId="0" applyNumberFormat="1" applyFont="1" applyFill="1" applyBorder="1" applyAlignment="1">
      <alignment vertical="center"/>
    </xf>
    <xf numFmtId="49" fontId="7" fillId="5" borderId="21" xfId="0" applyNumberFormat="1" applyFont="1" applyFill="1" applyBorder="1" applyAlignment="1">
      <alignment horizontal="left" indent="1"/>
    </xf>
    <xf numFmtId="0" fontId="0" fillId="0" borderId="5" xfId="0" applyBorder="1" applyAlignment="1">
      <alignment horizontal="left" indent="1"/>
    </xf>
    <xf numFmtId="49" fontId="3" fillId="0" borderId="23" xfId="0" applyNumberFormat="1" applyFont="1" applyBorder="1" applyAlignment="1">
      <alignment horizontal="left" indent="1"/>
    </xf>
    <xf numFmtId="44" fontId="0" fillId="0" borderId="16" xfId="0" applyNumberFormat="1" applyBorder="1"/>
    <xf numFmtId="49" fontId="9" fillId="0" borderId="20" xfId="0" applyNumberFormat="1" applyFont="1" applyBorder="1" applyAlignment="1">
      <alignment horizontal="left" indent="1"/>
    </xf>
    <xf numFmtId="49" fontId="9" fillId="0" borderId="16" xfId="0" applyNumberFormat="1" applyFont="1" applyBorder="1" applyAlignment="1">
      <alignment horizontal="left" indent="1"/>
    </xf>
    <xf numFmtId="49" fontId="9" fillId="0" borderId="22" xfId="0" applyNumberFormat="1" applyFont="1" applyBorder="1" applyAlignment="1">
      <alignment horizontal="left" indent="1"/>
    </xf>
    <xf numFmtId="49" fontId="9" fillId="0" borderId="4" xfId="0" applyNumberFormat="1" applyFont="1" applyBorder="1" applyAlignment="1">
      <alignment horizontal="left" indent="1"/>
    </xf>
    <xf numFmtId="44" fontId="10" fillId="0" borderId="16" xfId="0" applyNumberFormat="1" applyFont="1" applyBorder="1"/>
    <xf numFmtId="49" fontId="7" fillId="0" borderId="0" xfId="0" applyNumberFormat="1" applyFont="1" applyFill="1" applyBorder="1" applyAlignment="1">
      <alignment horizontal="left" indent="1"/>
    </xf>
    <xf numFmtId="49" fontId="9" fillId="0" borderId="0" xfId="0" applyNumberFormat="1" applyFont="1" applyFill="1" applyBorder="1" applyAlignment="1">
      <alignment horizontal="left" indent="1"/>
    </xf>
    <xf numFmtId="165" fontId="2" fillId="6" borderId="19" xfId="0" applyNumberFormat="1" applyFont="1" applyFill="1" applyBorder="1" applyAlignment="1">
      <alignment horizontal="center"/>
    </xf>
    <xf numFmtId="0" fontId="2" fillId="6" borderId="19" xfId="0" applyNumberFormat="1" applyFont="1" applyFill="1" applyBorder="1" applyAlignment="1">
      <alignment horizontal="center"/>
    </xf>
    <xf numFmtId="165" fontId="2" fillId="7" borderId="19" xfId="0" applyNumberFormat="1" applyFont="1" applyFill="1" applyBorder="1" applyAlignment="1">
      <alignment horizontal="center"/>
    </xf>
    <xf numFmtId="0" fontId="2" fillId="7" borderId="19" xfId="0" applyNumberFormat="1" applyFont="1" applyFill="1" applyBorder="1" applyAlignment="1">
      <alignment horizontal="center"/>
    </xf>
    <xf numFmtId="0" fontId="0" fillId="2" borderId="8" xfId="0" applyFill="1" applyBorder="1" applyAlignment="1">
      <alignment vertical="center"/>
    </xf>
    <xf numFmtId="0" fontId="0" fillId="0" borderId="4" xfId="0" applyNumberFormat="1" applyBorder="1"/>
    <xf numFmtId="0" fontId="0" fillId="2" borderId="24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0" borderId="27" xfId="0" applyBorder="1"/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4" xfId="0" applyNumberFormat="1" applyFill="1" applyBorder="1"/>
    <xf numFmtId="0" fontId="0" fillId="8" borderId="0" xfId="0" applyNumberFormat="1" applyFill="1"/>
    <xf numFmtId="0" fontId="0" fillId="8" borderId="3" xfId="0" applyFill="1" applyBorder="1" applyAlignment="1">
      <alignment vertical="center"/>
    </xf>
    <xf numFmtId="49" fontId="1" fillId="8" borderId="4" xfId="0" applyNumberFormat="1" applyFont="1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1" xfId="0" applyFill="1" applyBorder="1"/>
    <xf numFmtId="0" fontId="0" fillId="8" borderId="2" xfId="0" applyFill="1" applyBorder="1"/>
    <xf numFmtId="0" fontId="11" fillId="8" borderId="2" xfId="0" applyFont="1" applyFill="1" applyBorder="1"/>
    <xf numFmtId="0" fontId="0" fillId="8" borderId="3" xfId="0" applyFill="1" applyBorder="1"/>
    <xf numFmtId="49" fontId="1" fillId="8" borderId="4" xfId="0" applyNumberFormat="1" applyFont="1" applyFill="1" applyBorder="1"/>
    <xf numFmtId="0" fontId="0" fillId="8" borderId="4" xfId="0" applyFill="1" applyBorder="1"/>
    <xf numFmtId="0" fontId="11" fillId="0" borderId="4" xfId="0" applyNumberFormat="1" applyFont="1" applyBorder="1" applyAlignment="1">
      <alignment horizontal="left" vertical="center" indent="1"/>
    </xf>
    <xf numFmtId="0" fontId="12" fillId="0" borderId="4" xfId="0" applyNumberFormat="1" applyFont="1" applyBorder="1" applyAlignment="1">
      <alignment horizontal="left" vertical="center" indent="1"/>
    </xf>
    <xf numFmtId="166" fontId="12" fillId="0" borderId="4" xfId="0" applyNumberFormat="1" applyFont="1" applyBorder="1" applyAlignment="1">
      <alignment horizontal="left" vertical="center" indent="1"/>
    </xf>
    <xf numFmtId="44" fontId="12" fillId="0" borderId="4" xfId="0" applyNumberFormat="1" applyFont="1" applyBorder="1" applyAlignment="1">
      <alignment horizontal="right" vertical="center" indent="1"/>
    </xf>
    <xf numFmtId="0" fontId="13" fillId="9" borderId="4" xfId="0" applyNumberFormat="1" applyFont="1" applyFill="1" applyBorder="1" applyAlignment="1">
      <alignment horizontal="left" vertical="center" indent="1"/>
    </xf>
    <xf numFmtId="0" fontId="14" fillId="2" borderId="4" xfId="0" applyFont="1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0" borderId="28" xfId="0" applyNumberFormat="1" applyBorder="1"/>
    <xf numFmtId="0" fontId="0" fillId="0" borderId="24" xfId="0" applyNumberFormat="1" applyBorder="1"/>
    <xf numFmtId="0" fontId="0" fillId="0" borderId="29" xfId="0" applyNumberFormat="1" applyBorder="1"/>
    <xf numFmtId="0" fontId="0" fillId="0" borderId="30" xfId="0" applyNumberFormat="1" applyBorder="1"/>
    <xf numFmtId="0" fontId="0" fillId="0" borderId="31" xfId="0" applyNumberFormat="1" applyBorder="1"/>
    <xf numFmtId="166" fontId="17" fillId="0" borderId="4" xfId="0" applyNumberFormat="1" applyFont="1" applyBorder="1" applyAlignment="1">
      <alignment horizontal="left" vertical="center" indent="1"/>
    </xf>
    <xf numFmtId="0" fontId="3" fillId="0" borderId="4" xfId="0" applyFont="1" applyBorder="1"/>
    <xf numFmtId="166" fontId="0" fillId="0" borderId="4" xfId="0" applyNumberFormat="1" applyBorder="1"/>
    <xf numFmtId="0" fontId="0" fillId="0" borderId="4" xfId="0" applyNumberFormat="1" applyBorder="1" applyAlignment="1">
      <alignment horizontal="right"/>
    </xf>
    <xf numFmtId="0" fontId="3" fillId="0" borderId="4" xfId="0" applyNumberFormat="1" applyFont="1" applyBorder="1"/>
    <xf numFmtId="44" fontId="0" fillId="0" borderId="4" xfId="0" applyNumberFormat="1" applyBorder="1"/>
    <xf numFmtId="0" fontId="0" fillId="0" borderId="4" xfId="0" applyNumberFormat="1" applyBorder="1" applyAlignment="1">
      <alignment horizontal="center"/>
    </xf>
    <xf numFmtId="0" fontId="16" fillId="8" borderId="4" xfId="0" applyNumberFormat="1" applyFont="1" applyFill="1" applyBorder="1"/>
    <xf numFmtId="0" fontId="11" fillId="0" borderId="4" xfId="0" applyNumberFormat="1" applyFont="1" applyBorder="1"/>
    <xf numFmtId="0" fontId="11" fillId="8" borderId="4" xfId="0" applyFont="1" applyFill="1" applyBorder="1"/>
    <xf numFmtId="0" fontId="16" fillId="8" borderId="4" xfId="0" applyFont="1" applyFill="1" applyBorder="1"/>
    <xf numFmtId="0" fontId="11" fillId="0" borderId="3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6" xfId="0" applyNumberFormat="1" applyBorder="1" applyAlignment="1">
      <alignment horizontal="center" vertical="center"/>
    </xf>
    <xf numFmtId="167" fontId="0" fillId="0" borderId="35" xfId="0" applyNumberFormat="1" applyBorder="1" applyAlignment="1">
      <alignment horizontal="center" vertical="center"/>
    </xf>
    <xf numFmtId="0" fontId="3" fillId="0" borderId="37" xfId="0" applyFont="1" applyBorder="1"/>
    <xf numFmtId="0" fontId="0" fillId="0" borderId="37" xfId="0" applyNumberFormat="1" applyBorder="1" applyAlignment="1">
      <alignment horizontal="right" vertical="center"/>
    </xf>
    <xf numFmtId="0" fontId="18" fillId="10" borderId="4" xfId="0" applyNumberFormat="1" applyFont="1" applyFill="1" applyBorder="1" applyAlignment="1">
      <alignment horizontal="center" vertical="center"/>
    </xf>
    <xf numFmtId="0" fontId="12" fillId="10" borderId="38" xfId="0" applyNumberFormat="1" applyFont="1" applyFill="1" applyBorder="1" applyAlignment="1">
      <alignment horizontal="center" vertical="center"/>
    </xf>
    <xf numFmtId="0" fontId="12" fillId="10" borderId="39" xfId="0" applyNumberFormat="1" applyFont="1" applyFill="1" applyBorder="1" applyAlignment="1">
      <alignment horizontal="center" vertical="center"/>
    </xf>
    <xf numFmtId="0" fontId="12" fillId="1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/>
    <xf numFmtId="0" fontId="11" fillId="0" borderId="38" xfId="0" applyNumberFormat="1" applyFont="1" applyBorder="1"/>
    <xf numFmtId="0" fontId="11" fillId="0" borderId="39" xfId="0" applyNumberFormat="1" applyFont="1" applyBorder="1"/>
    <xf numFmtId="0" fontId="11" fillId="0" borderId="0" xfId="0" applyFont="1"/>
    <xf numFmtId="44" fontId="11" fillId="0" borderId="4" xfId="0" applyNumberFormat="1" applyFont="1" applyBorder="1"/>
    <xf numFmtId="0" fontId="11" fillId="0" borderId="39" xfId="0" applyFont="1" applyBorder="1"/>
    <xf numFmtId="44" fontId="20" fillId="0" borderId="4" xfId="0" applyNumberFormat="1" applyFont="1" applyBorder="1" applyAlignment="1">
      <alignment horizontal="right" vertical="center" indent="1"/>
    </xf>
    <xf numFmtId="0" fontId="18" fillId="10" borderId="40" xfId="0" applyNumberFormat="1" applyFont="1" applyFill="1" applyBorder="1" applyAlignment="1">
      <alignment horizontal="center" vertical="center"/>
    </xf>
    <xf numFmtId="0" fontId="18" fillId="10" borderId="41" xfId="0" applyNumberFormat="1" applyFont="1" applyFill="1" applyBorder="1" applyAlignment="1">
      <alignment horizontal="center" vertical="center"/>
    </xf>
    <xf numFmtId="0" fontId="0" fillId="0" borderId="40" xfId="0" applyNumberFormat="1" applyBorder="1"/>
    <xf numFmtId="0" fontId="0" fillId="0" borderId="41" xfId="0" applyNumberFormat="1" applyBorder="1"/>
    <xf numFmtId="0" fontId="18" fillId="10" borderId="42" xfId="0" applyNumberFormat="1" applyFont="1" applyFill="1" applyBorder="1" applyAlignment="1">
      <alignment horizontal="center" vertical="center"/>
    </xf>
    <xf numFmtId="0" fontId="0" fillId="0" borderId="42" xfId="0" applyNumberFormat="1" applyBorder="1"/>
    <xf numFmtId="0" fontId="18" fillId="10" borderId="43" xfId="0" applyNumberFormat="1" applyFont="1" applyFill="1" applyBorder="1" applyAlignment="1">
      <alignment horizontal="center" vertical="center"/>
    </xf>
    <xf numFmtId="0" fontId="18" fillId="10" borderId="44" xfId="0" applyNumberFormat="1" applyFont="1" applyFill="1" applyBorder="1" applyAlignment="1">
      <alignment horizontal="center" vertical="center"/>
    </xf>
    <xf numFmtId="0" fontId="0" fillId="0" borderId="43" xfId="0" applyNumberFormat="1" applyBorder="1"/>
    <xf numFmtId="0" fontId="0" fillId="0" borderId="44" xfId="0" applyNumberFormat="1" applyBorder="1"/>
    <xf numFmtId="0" fontId="18" fillId="10" borderId="45" xfId="0" applyNumberFormat="1" applyFont="1" applyFill="1" applyBorder="1" applyAlignment="1">
      <alignment horizontal="center" vertical="center"/>
    </xf>
    <xf numFmtId="0" fontId="0" fillId="0" borderId="45" xfId="0" applyNumberFormat="1" applyBorder="1"/>
    <xf numFmtId="9" fontId="0" fillId="0" borderId="4" xfId="2" applyFont="1" applyBorder="1"/>
    <xf numFmtId="0" fontId="21" fillId="0" borderId="4" xfId="0" applyNumberFormat="1" applyFont="1" applyBorder="1" applyAlignment="1">
      <alignment vertical="center"/>
    </xf>
    <xf numFmtId="9" fontId="21" fillId="0" borderId="4" xfId="2" applyFont="1" applyBorder="1" applyAlignment="1">
      <alignment horizontal="center" vertical="center"/>
    </xf>
    <xf numFmtId="168" fontId="21" fillId="0" borderId="4" xfId="0" applyNumberFormat="1" applyFont="1" applyBorder="1" applyAlignment="1">
      <alignment horizontal="center" vertical="center"/>
    </xf>
    <xf numFmtId="168" fontId="0" fillId="0" borderId="4" xfId="0" applyNumberFormat="1" applyBorder="1"/>
    <xf numFmtId="0" fontId="0" fillId="0" borderId="46" xfId="0" applyNumberFormat="1" applyBorder="1"/>
    <xf numFmtId="0" fontId="0" fillId="0" borderId="47" xfId="0" applyNumberFormat="1" applyBorder="1"/>
    <xf numFmtId="0" fontId="0" fillId="0" borderId="48" xfId="0" applyNumberFormat="1" applyBorder="1"/>
    <xf numFmtId="0" fontId="0" fillId="0" borderId="49" xfId="0" applyNumberFormat="1" applyBorder="1"/>
    <xf numFmtId="0" fontId="0" fillId="0" borderId="50" xfId="0" applyNumberFormat="1" applyBorder="1"/>
    <xf numFmtId="0" fontId="0" fillId="0" borderId="51" xfId="0" applyNumberFormat="1" applyBorder="1"/>
    <xf numFmtId="0" fontId="0" fillId="0" borderId="52" xfId="0" applyNumberFormat="1" applyBorder="1"/>
    <xf numFmtId="0" fontId="0" fillId="0" borderId="53" xfId="0" applyNumberFormat="1" applyBorder="1"/>
    <xf numFmtId="0" fontId="0" fillId="0" borderId="54" xfId="0" applyNumberFormat="1" applyBorder="1"/>
    <xf numFmtId="0" fontId="22" fillId="0" borderId="54" xfId="0" applyNumberFormat="1" applyFont="1" applyBorder="1"/>
    <xf numFmtId="0" fontId="3" fillId="0" borderId="55" xfId="0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6" xfId="0" applyNumberFormat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11" fillId="0" borderId="56" xfId="0" applyNumberFormat="1" applyFont="1" applyBorder="1" applyAlignment="1">
      <alignment horizontal="center" vertical="center"/>
    </xf>
    <xf numFmtId="5" fontId="0" fillId="0" borderId="4" xfId="1" applyNumberFormat="1" applyFont="1" applyBorder="1" applyAlignment="1">
      <alignment horizontal="center" vertical="center"/>
    </xf>
    <xf numFmtId="5" fontId="3" fillId="0" borderId="4" xfId="1" applyNumberFormat="1" applyFont="1" applyBorder="1" applyAlignment="1">
      <alignment horizontal="center" vertical="center"/>
    </xf>
    <xf numFmtId="168" fontId="12" fillId="0" borderId="4" xfId="0" applyNumberFormat="1" applyFont="1" applyBorder="1"/>
    <xf numFmtId="0" fontId="25" fillId="0" borderId="57" xfId="0" applyNumberFormat="1" applyFont="1" applyBorder="1" applyAlignment="1">
      <alignment horizontal="left" vertical="center" indent="1"/>
    </xf>
    <xf numFmtId="168" fontId="25" fillId="0" borderId="57" xfId="0" applyNumberFormat="1" applyFont="1" applyBorder="1"/>
    <xf numFmtId="0" fontId="16" fillId="8" borderId="4" xfId="0" applyNumberFormat="1" applyFont="1" applyFill="1" applyBorder="1" applyAlignment="1">
      <alignment horizontal="center" vertical="center"/>
    </xf>
    <xf numFmtId="0" fontId="3" fillId="0" borderId="32" xfId="0" applyNumberFormat="1" applyFont="1" applyBorder="1" applyAlignment="1">
      <alignment horizontal="center"/>
    </xf>
    <xf numFmtId="0" fontId="3" fillId="0" borderId="33" xfId="0" applyNumberFormat="1" applyFont="1" applyBorder="1" applyAlignment="1">
      <alignment horizontal="center"/>
    </xf>
    <xf numFmtId="0" fontId="0" fillId="11" borderId="34" xfId="0" applyNumberFormat="1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left" indent="9"/>
    </xf>
    <xf numFmtId="0" fontId="5" fillId="0" borderId="4" xfId="0" applyNumberFormat="1" applyFont="1" applyBorder="1" applyAlignment="1">
      <alignment horizontal="left" indent="8"/>
    </xf>
    <xf numFmtId="167" fontId="0" fillId="11" borderId="34" xfId="0" applyNumberForma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/>
    </xf>
    <xf numFmtId="49" fontId="15" fillId="2" borderId="4" xfId="0" applyNumberFormat="1" applyFont="1" applyFill="1" applyBorder="1" applyAlignment="1">
      <alignment horizontal="left" vertical="center" wrapText="1"/>
    </xf>
    <xf numFmtId="0" fontId="2" fillId="3" borderId="12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  <xf numFmtId="5" fontId="11" fillId="0" borderId="56" xfId="1" applyNumberFormat="1" applyFont="1" applyBorder="1" applyAlignment="1">
      <alignment horizontal="center" vertical="center"/>
    </xf>
    <xf numFmtId="0" fontId="25" fillId="0" borderId="4" xfId="0" applyNumberFormat="1" applyFont="1" applyBorder="1" applyAlignment="1">
      <alignment horizontal="left" vertical="center" indent="1"/>
    </xf>
    <xf numFmtId="168" fontId="25" fillId="0" borderId="4" xfId="0" applyNumberFormat="1" applyFont="1" applyBorder="1"/>
    <xf numFmtId="0" fontId="3" fillId="0" borderId="4" xfId="0" applyNumberFormat="1" applyFont="1" applyBorder="1" applyAlignment="1">
      <alignment horizontal="center"/>
    </xf>
    <xf numFmtId="0" fontId="16" fillId="9" borderId="4" xfId="0" applyFont="1" applyFill="1" applyBorder="1" applyAlignment="1">
      <alignment horizontal="center"/>
    </xf>
    <xf numFmtId="0" fontId="3" fillId="0" borderId="55" xfId="0" applyNumberFormat="1" applyFont="1" applyBorder="1" applyAlignment="1">
      <alignment horizontal="center"/>
    </xf>
    <xf numFmtId="0" fontId="3" fillId="0" borderId="55" xfId="0" applyNumberFormat="1" applyFont="1" applyBorder="1" applyAlignment="1">
      <alignment horizontal="left" indent="1"/>
    </xf>
    <xf numFmtId="0" fontId="0" fillId="0" borderId="4" xfId="0" applyNumberFormat="1" applyBorder="1" applyAlignment="1">
      <alignment horizontal="left" indent="1"/>
    </xf>
  </cellXfs>
  <cellStyles count="3">
    <cellStyle name="Comma" xfId="1" builtinId="3"/>
    <cellStyle name="Normal" xfId="0" builtinId="0"/>
    <cellStyle name="Per cent" xfId="2" builtinId="5"/>
  </cellStyles>
  <dxfs count="65">
    <dxf>
      <fill>
        <patternFill>
          <bgColor theme="9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C80003"/>
        </patternFill>
      </fill>
    </dxf>
    <dxf>
      <fill>
        <patternFill>
          <bgColor rgb="FFFF0000"/>
        </patternFill>
      </fill>
    </dxf>
    <dxf>
      <fill>
        <patternFill>
          <bgColor rgb="FFFF4849"/>
        </patternFill>
      </fill>
    </dxf>
    <dxf>
      <fill>
        <patternFill>
          <bgColor rgb="FFFF5A5A"/>
        </patternFill>
      </fill>
    </dxf>
    <dxf>
      <fill>
        <patternFill>
          <bgColor rgb="FFFA797A"/>
        </patternFill>
      </fill>
    </dxf>
    <dxf>
      <fill>
        <patternFill>
          <bgColor rgb="FFFFA9A9"/>
        </patternFill>
      </fill>
    </dxf>
    <dxf>
      <fill>
        <patternFill>
          <bgColor theme="9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B3C4"/>
        </patternFill>
      </fill>
    </dxf>
    <dxf>
      <fill>
        <patternFill>
          <bgColor rgb="FF92D050"/>
        </patternFill>
      </fill>
    </dxf>
    <dxf>
      <font>
        <b/>
        <i val="0"/>
      </font>
      <border>
        <top style="thin">
          <color theme="1"/>
        </top>
        <vertical/>
        <horizontal/>
      </border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theme="1"/>
      </font>
      <numFmt numFmtId="169" formatCode="\-\&gt;\&gt;\ d\-mmm\-yy"/>
    </dxf>
    <dxf>
      <font>
        <b/>
        <i val="0"/>
        <color theme="9"/>
      </font>
      <numFmt numFmtId="34" formatCode="_(&quot;₹&quot;* #,##0.00_);_(&quot;₹&quot;* \(#,##0.00\);_(&quot;₹&quot;* &quot;-&quot;??_);_(@_)"/>
    </dxf>
    <dxf>
      <font>
        <b/>
        <i val="0"/>
        <color theme="9"/>
      </font>
      <numFmt numFmtId="34" formatCode="_(&quot;₹&quot;* #,##0.00_);_(&quot;₹&quot;* \(#,##0.00\);_(&quot;₹&quot;* &quot;-&quot;??_);_(@_)"/>
    </dxf>
    <dxf>
      <font>
        <color rgb="FFC00000"/>
      </font>
    </dxf>
    <dxf>
      <font>
        <color rgb="FFC00000"/>
      </font>
    </dxf>
    <dxf>
      <font>
        <color rgb="FF92D050"/>
      </font>
    </dxf>
    <dxf>
      <font>
        <color theme="0" tint="-0.34998626667073579"/>
      </font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rgb="FFFE7E7A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strike val="0"/>
        <outline val="0"/>
        <shadow val="0"/>
        <u val="none"/>
        <vertAlign val="baseline"/>
        <sz val="10"/>
        <color theme="0" tint="-0.249977111117893"/>
        <name val="Calibri"/>
        <family val="2"/>
        <scheme val="none"/>
      </font>
      <numFmt numFmtId="166" formatCode="d\-mmm\-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499984740745262"/>
        <name val="Calibri"/>
        <family val="2"/>
        <scheme val="none"/>
      </font>
      <numFmt numFmtId="34" formatCode="_(&quot;₹&quot;* #,##0.00_);_(&quot;₹&quot;* \(#,##0.00\);_(&quot;₹&quot;* &quot;-&quot;??_);_(@_)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4" formatCode="_(&quot;₹&quot;* #,##0.00_);_(&quot;₹&quot;* \(#,##0.00\);_(&quot;₹&quot;* &quot;-&quot;??_);_(@_)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6" formatCode="d\-mmm\-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0" formatCode="General"/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none"/>
      </font>
      <numFmt numFmtId="30" formatCode="@"/>
      <alignment horizontal="left" vertical="bottom" textRotation="0" wrapText="0" relativeIndent="1" justifyLastLine="0" shrinkToFit="0" readingOrder="0"/>
      <border diagonalUp="0" diagonalDown="0" outline="0">
        <left style="thin">
          <color indexed="14"/>
        </left>
        <right style="thin">
          <color indexed="14"/>
        </right>
        <top style="thin">
          <color indexed="14"/>
        </top>
        <bottom style="thin">
          <color indexed="14"/>
        </bottom>
      </border>
    </dxf>
    <dxf>
      <border outline="0">
        <top style="thin">
          <color indexed="8"/>
        </top>
        <bottom style="thin">
          <color indexed="1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none"/>
      </font>
      <numFmt numFmtId="30" formatCode="@"/>
      <alignment horizontal="left" vertical="bottom" textRotation="0" wrapText="0" relativeIndent="1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Calibri"/>
        <scheme val="none"/>
      </font>
      <numFmt numFmtId="30" formatCode="@"/>
      <fill>
        <patternFill patternType="solid">
          <fgColor indexed="64"/>
          <bgColor indexed="15"/>
        </patternFill>
      </fill>
      <alignment horizontal="left" vertical="bottom" textRotation="0" wrapText="0" relativeIndent="1" justifyLastLine="0" shrinkToFit="0" readingOrder="0"/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2060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/>
        <i val="0"/>
        <color theme="0"/>
      </font>
      <fill>
        <patternFill>
          <bgColor theme="4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theme="9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4">
    <tableStyle name="Expense Table Style" pivot="0" count="2" xr9:uid="{DA7ACECD-894C-9B40-B2DE-7E315D4B194A}">
      <tableStyleElement type="wholeTable" dxfId="64"/>
      <tableStyleElement type="headerRow" dxfId="63"/>
    </tableStyle>
    <tableStyle name="Income Table Style" pivot="0" count="2" xr9:uid="{6237B76D-6E56-5246-848F-3D3127BB79E0}">
      <tableStyleElement type="wholeTable" dxfId="62"/>
      <tableStyleElement type="headerRow" dxfId="61"/>
    </tableStyle>
    <tableStyle name="Savings Table Style" pivot="0" count="2" xr9:uid="{4E3E1BBE-4B4E-EF44-AD0F-22721ACF16AF}">
      <tableStyleElement type="wholeTable" dxfId="60"/>
      <tableStyleElement type="headerRow" dxfId="59"/>
    </tableStyle>
    <tableStyle name="Tracking Table Style" pivot="0" count="3" xr9:uid="{92B82DE8-D563-0645-BA60-B99263662889}">
      <tableStyleElement type="wholeTable" dxfId="58"/>
      <tableStyleElement type="headerRow" dxfId="57"/>
      <tableStyleElement type="firstRowStripe" dxfId="56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2060"/>
      <rgbColor rgb="FFD9E2F3"/>
      <rgbColor rgb="FF7F7F7F"/>
      <rgbColor rgb="FFD8D8D8"/>
      <rgbColor rgb="FF548135"/>
      <rgbColor rgb="FFFF2600"/>
      <rgbColor rgb="FF4472C4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4849"/>
      <color rgb="FFFF5A5A"/>
      <color rgb="FFE35050"/>
      <color rgb="FFC80003"/>
      <color rgb="FFFF0000"/>
      <color rgb="FFFA797A"/>
      <color rgb="FFFFA9A9"/>
      <color rgb="FFC80004"/>
      <color rgb="FFFF3D41"/>
      <color rgb="FFFF49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A6-8640-8581-AB6158AE0943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A6-8640-8581-AB6158AE0943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A6-8640-8581-AB6158AE0943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A6-8640-8581-AB6158AE0943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A6-8640-8581-AB6158AE0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A6-8640-8581-AB6158AE0943}"/>
              </c:ext>
            </c:extLst>
          </c:dPt>
          <c:cat>
            <c:strRef>
              <c:f>Calculations!$E$35:$E$40</c:f>
              <c:strCache>
                <c:ptCount val="2"/>
                <c:pt idx="0">
                  <c:v>Employment</c:v>
                </c:pt>
                <c:pt idx="1">
                  <c:v>Side Hustle</c:v>
                </c:pt>
              </c:strCache>
            </c:strRef>
          </c:cat>
          <c:val>
            <c:numRef>
              <c:f>Calculations!$F$35:$F$40</c:f>
            </c:numRef>
          </c:val>
          <c:extLst>
            <c:ext xmlns:c16="http://schemas.microsoft.com/office/drawing/2014/chart" uri="{C3380CC4-5D6E-409C-BE32-E72D297353CC}">
              <c16:uniqueId val="{0000000C-AAA6-8640-8581-AB6158AE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A9A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32-D44A-AE0C-3424E4CCEB6C}"/>
              </c:ext>
            </c:extLst>
          </c:dPt>
          <c:dPt>
            <c:idx val="1"/>
            <c:bubble3D val="0"/>
            <c:spPr>
              <a:solidFill>
                <a:srgbClr val="F9797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32-D44A-AE0C-3424E4CCEB6C}"/>
              </c:ext>
            </c:extLst>
          </c:dPt>
          <c:dPt>
            <c:idx val="2"/>
            <c:bubble3D val="0"/>
            <c:spPr>
              <a:solidFill>
                <a:srgbClr val="FF5A5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32-D44A-AE0C-3424E4CCEB6C}"/>
              </c:ext>
            </c:extLst>
          </c:dPt>
          <c:dPt>
            <c:idx val="3"/>
            <c:bubble3D val="0"/>
            <c:spPr>
              <a:solidFill>
                <a:srgbClr val="FF494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32-D44A-AE0C-3424E4CCEB6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32-D44A-AE0C-3424E4CCEB6C}"/>
              </c:ext>
            </c:extLst>
          </c:dPt>
          <c:dPt>
            <c:idx val="5"/>
            <c:bubble3D val="0"/>
            <c:spPr>
              <a:solidFill>
                <a:srgbClr val="C8000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32-D44A-AE0C-3424E4CCEB6C}"/>
              </c:ext>
            </c:extLst>
          </c:dPt>
          <c:val>
            <c:numRef>
              <c:f>Calculations!$J$35:$J$40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Calculations!$I$35:$I$40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C32-D44A-AE0C-3424E4CCE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AB-BB4E-A905-A333BFC04C48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AB-BB4E-A905-A333BFC04C48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AB-BB4E-A905-A333BFC04C48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AB-BB4E-A905-A333BFC04C48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AB-BB4E-A905-A333BFC04C48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AB-BB4E-A905-A333BFC04C48}"/>
              </c:ext>
            </c:extLst>
          </c:dPt>
          <c:cat>
            <c:strRef>
              <c:f>Calculations!$M$35:$M$40</c:f>
              <c:strCache>
                <c:ptCount val="2"/>
                <c:pt idx="0">
                  <c:v>Emergency Fund</c:v>
                </c:pt>
                <c:pt idx="1">
                  <c:v>Sinking Fund Future Payment</c:v>
                </c:pt>
              </c:strCache>
            </c:strRef>
          </c:cat>
          <c:val>
            <c:numRef>
              <c:f>Calculations!$N$35:$N$40</c:f>
              <c:numCache>
                <c:formatCode>"₹"#,##0_);\("₹"#,##0\)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AB-BB4E-A905-A333BFC04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13335</xdr:colOff>
      <xdr:row>4</xdr:row>
      <xdr:rowOff>88265</xdr:rowOff>
    </xdr:from>
    <xdr:to>
      <xdr:col>3</xdr:col>
      <xdr:colOff>43815</xdr:colOff>
      <xdr:row>8</xdr:row>
      <xdr:rowOff>139065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13D63B35-2440-566D-059B-343B9A7B1B9F}"/>
            </a:ext>
          </a:extLst>
        </xdr:cNvPr>
        <xdr:cNvGrpSpPr/>
      </xdr:nvGrpSpPr>
      <xdr:grpSpPr>
        <a:xfrm>
          <a:off x="1132816" y="906709"/>
          <a:ext cx="1469814" cy="803393"/>
          <a:chOff x="1130935" y="911225"/>
          <a:chExt cx="1463040" cy="822960"/>
        </a:xfrm>
      </xdr:grpSpPr>
      <xdr:sp macro="" textlink="">
        <xdr:nvSpPr>
          <xdr:cNvPr id="2" name="Rounded Rectangle 1">
            <a:extLst>
              <a:ext uri="{FF2B5EF4-FFF2-40B4-BE49-F238E27FC236}">
                <a16:creationId xmlns:a16="http://schemas.microsoft.com/office/drawing/2014/main" id="{B9F948F4-322B-6BA7-4236-A2447AD0806D}"/>
              </a:ext>
            </a:extLst>
          </xdr:cNvPr>
          <xdr:cNvSpPr/>
        </xdr:nvSpPr>
        <xdr:spPr>
          <a:xfrm>
            <a:off x="1130935" y="911225"/>
            <a:ext cx="1463040" cy="822960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ED8A2C3-15EE-6120-909C-991C1D458D05}"/>
              </a:ext>
            </a:extLst>
          </xdr:cNvPr>
          <xdr:cNvSpPr txBox="1"/>
        </xdr:nvSpPr>
        <xdr:spPr>
          <a:xfrm>
            <a:off x="1186455" y="976095"/>
            <a:ext cx="1185844" cy="28375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Date of Today</a:t>
            </a:r>
          </a:p>
        </xdr:txBody>
      </xdr:sp>
      <xdr:sp macro="" textlink="Calculations!E8">
        <xdr:nvSpPr>
          <xdr:cNvPr id="4" name="TextBox 3">
            <a:extLst>
              <a:ext uri="{FF2B5EF4-FFF2-40B4-BE49-F238E27FC236}">
                <a16:creationId xmlns:a16="http://schemas.microsoft.com/office/drawing/2014/main" id="{B6C64CCD-35AE-6D43-BA62-AFA2FB23A272}"/>
              </a:ext>
            </a:extLst>
          </xdr:cNvPr>
          <xdr:cNvSpPr txBox="1"/>
        </xdr:nvSpPr>
        <xdr:spPr>
          <a:xfrm>
            <a:off x="1186455" y="1283773"/>
            <a:ext cx="1185844" cy="2710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EEA599A3-6A98-6A46-B203-B09BAD5D37E2}" type="TxLink">
              <a:rPr kumimoji="0" lang="en-US" sz="11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15-Mar-22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 editAs="absolute">
    <xdr:from>
      <xdr:col>3</xdr:col>
      <xdr:colOff>402225</xdr:colOff>
      <xdr:row>4</xdr:row>
      <xdr:rowOff>88265</xdr:rowOff>
    </xdr:from>
    <xdr:to>
      <xdr:col>4</xdr:col>
      <xdr:colOff>954423</xdr:colOff>
      <xdr:row>8</xdr:row>
      <xdr:rowOff>139065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9F23CEE-D4BD-09C9-86C5-869D31F0CB1F}"/>
            </a:ext>
          </a:extLst>
        </xdr:cNvPr>
        <xdr:cNvGrpSpPr/>
      </xdr:nvGrpSpPr>
      <xdr:grpSpPr>
        <a:xfrm>
          <a:off x="2961040" y="906709"/>
          <a:ext cx="1991531" cy="803393"/>
          <a:chOff x="2877782" y="911225"/>
          <a:chExt cx="1984758" cy="822960"/>
        </a:xfrm>
      </xdr:grpSpPr>
      <xdr:sp macro="" textlink="">
        <xdr:nvSpPr>
          <xdr:cNvPr id="5" name="Rounded Rectangle 4">
            <a:extLst>
              <a:ext uri="{FF2B5EF4-FFF2-40B4-BE49-F238E27FC236}">
                <a16:creationId xmlns:a16="http://schemas.microsoft.com/office/drawing/2014/main" id="{1A1FA67E-339C-1A4E-9823-CD1461D66BB0}"/>
              </a:ext>
            </a:extLst>
          </xdr:cNvPr>
          <xdr:cNvSpPr/>
        </xdr:nvSpPr>
        <xdr:spPr>
          <a:xfrm>
            <a:off x="2877782" y="911225"/>
            <a:ext cx="1984758" cy="822960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7EA8A15-6F70-0D4B-914C-0A558C09C733}"/>
              </a:ext>
            </a:extLst>
          </xdr:cNvPr>
          <xdr:cNvSpPr txBox="1"/>
        </xdr:nvSpPr>
        <xdr:spPr>
          <a:xfrm>
            <a:off x="2933301" y="976095"/>
            <a:ext cx="1447250" cy="28375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Date of Last Record</a:t>
            </a:r>
          </a:p>
        </xdr:txBody>
      </xdr:sp>
      <xdr:sp macro="" textlink="Calculations!E9">
        <xdr:nvSpPr>
          <xdr:cNvPr id="7" name="TextBox 6">
            <a:extLst>
              <a:ext uri="{FF2B5EF4-FFF2-40B4-BE49-F238E27FC236}">
                <a16:creationId xmlns:a16="http://schemas.microsoft.com/office/drawing/2014/main" id="{E9557C62-20FA-804C-A8F9-C88C3BB6FFC8}"/>
              </a:ext>
            </a:extLst>
          </xdr:cNvPr>
          <xdr:cNvSpPr txBox="1"/>
        </xdr:nvSpPr>
        <xdr:spPr>
          <a:xfrm>
            <a:off x="2933302" y="1283773"/>
            <a:ext cx="1180091" cy="2710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4010A99B-23A0-E647-B8C9-663A2216C59F}" type="TxLink">
              <a:rPr kumimoji="0" lang="en-US" sz="11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9-Feb-22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Calculations!E10">
        <xdr:nvSpPr>
          <xdr:cNvPr id="8" name="TextBox 7">
            <a:extLst>
              <a:ext uri="{FF2B5EF4-FFF2-40B4-BE49-F238E27FC236}">
                <a16:creationId xmlns:a16="http://schemas.microsoft.com/office/drawing/2014/main" id="{75AAC581-6B90-574E-9F1A-725E46B3BCB3}"/>
              </a:ext>
            </a:extLst>
          </xdr:cNvPr>
          <xdr:cNvSpPr txBox="1"/>
        </xdr:nvSpPr>
        <xdr:spPr>
          <a:xfrm>
            <a:off x="3667145" y="1283773"/>
            <a:ext cx="1180091" cy="2710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49DAB606-DD01-1046-BDAA-E2E29BEAEE11}" type="TxLink">
              <a: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(34 days ago)</a:t>
            </a:fld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 editAs="absolute">
    <xdr:from>
      <xdr:col>4</xdr:col>
      <xdr:colOff>1312833</xdr:colOff>
      <xdr:row>4</xdr:row>
      <xdr:rowOff>88265</xdr:rowOff>
    </xdr:from>
    <xdr:to>
      <xdr:col>6</xdr:col>
      <xdr:colOff>233371</xdr:colOff>
      <xdr:row>8</xdr:row>
      <xdr:rowOff>139065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F5C45512-CBE8-7E8D-67EE-1EF80F69A41A}"/>
            </a:ext>
          </a:extLst>
        </xdr:cNvPr>
        <xdr:cNvGrpSpPr/>
      </xdr:nvGrpSpPr>
      <xdr:grpSpPr>
        <a:xfrm>
          <a:off x="5310981" y="906709"/>
          <a:ext cx="1799205" cy="803393"/>
          <a:chOff x="5153622" y="911225"/>
          <a:chExt cx="1785658" cy="822960"/>
        </a:xfrm>
      </xdr:grpSpPr>
      <xdr:sp macro="" textlink="">
        <xdr:nvSpPr>
          <xdr:cNvPr id="9" name="Rounded Rectangle 8">
            <a:extLst>
              <a:ext uri="{FF2B5EF4-FFF2-40B4-BE49-F238E27FC236}">
                <a16:creationId xmlns:a16="http://schemas.microsoft.com/office/drawing/2014/main" id="{D8E4134A-CB8A-5B47-8155-B20F2A066521}"/>
              </a:ext>
            </a:extLst>
          </xdr:cNvPr>
          <xdr:cNvSpPr/>
        </xdr:nvSpPr>
        <xdr:spPr>
          <a:xfrm>
            <a:off x="5153622" y="911225"/>
            <a:ext cx="1785658" cy="822960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80627341-11D1-414F-85C4-71DD70A3C40E}"/>
              </a:ext>
            </a:extLst>
          </xdr:cNvPr>
          <xdr:cNvSpPr txBox="1"/>
        </xdr:nvSpPr>
        <xdr:spPr>
          <a:xfrm>
            <a:off x="5209140" y="976095"/>
            <a:ext cx="1618379" cy="28020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No. of Tracked Records</a:t>
            </a:r>
          </a:p>
        </xdr:txBody>
      </xdr:sp>
      <xdr:sp macro="" textlink="Calculations!E11">
        <xdr:nvSpPr>
          <xdr:cNvPr id="11" name="TextBox 10">
            <a:extLst>
              <a:ext uri="{FF2B5EF4-FFF2-40B4-BE49-F238E27FC236}">
                <a16:creationId xmlns:a16="http://schemas.microsoft.com/office/drawing/2014/main" id="{4AC3607C-1580-E44B-AFBA-9F7A32C44E66}"/>
              </a:ext>
            </a:extLst>
          </xdr:cNvPr>
          <xdr:cNvSpPr txBox="1"/>
        </xdr:nvSpPr>
        <xdr:spPr>
          <a:xfrm>
            <a:off x="5209142" y="1283773"/>
            <a:ext cx="1180091" cy="2710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E03DC2B8-73EA-E645-B73D-A402D094264E}" type="TxLink">
              <a:rPr kumimoji="0" lang="en-US" sz="11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8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Calculations!E12">
        <xdr:nvSpPr>
          <xdr:cNvPr id="12" name="TextBox 11">
            <a:extLst>
              <a:ext uri="{FF2B5EF4-FFF2-40B4-BE49-F238E27FC236}">
                <a16:creationId xmlns:a16="http://schemas.microsoft.com/office/drawing/2014/main" id="{32E6FBFE-8690-6241-9CE9-64C4851B8195}"/>
              </a:ext>
            </a:extLst>
          </xdr:cNvPr>
          <xdr:cNvSpPr txBox="1"/>
        </xdr:nvSpPr>
        <xdr:spPr>
          <a:xfrm>
            <a:off x="5556905" y="1283773"/>
            <a:ext cx="1180091" cy="27100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563C979D-05A0-3543-8922-38B746D37065}" type="TxLink">
              <a:rPr kumimoji="0" lang="en-US" sz="11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(7 this year)</a:t>
            </a:fld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 editAs="absolute">
    <xdr:from>
      <xdr:col>6</xdr:col>
      <xdr:colOff>591782</xdr:colOff>
      <xdr:row>4</xdr:row>
      <xdr:rowOff>88265</xdr:rowOff>
    </xdr:from>
    <xdr:to>
      <xdr:col>8</xdr:col>
      <xdr:colOff>1097280</xdr:colOff>
      <xdr:row>8</xdr:row>
      <xdr:rowOff>139065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3F33B2A9-1D4B-F752-9AAA-F45C7EFD1F54}"/>
            </a:ext>
          </a:extLst>
        </xdr:cNvPr>
        <xdr:cNvGrpSpPr/>
      </xdr:nvGrpSpPr>
      <xdr:grpSpPr>
        <a:xfrm>
          <a:off x="7468597" y="906709"/>
          <a:ext cx="3384164" cy="803393"/>
          <a:chOff x="7439622" y="911225"/>
          <a:chExt cx="3370618" cy="822960"/>
        </a:xfrm>
      </xdr:grpSpPr>
      <xdr:sp macro="" textlink="">
        <xdr:nvSpPr>
          <xdr:cNvPr id="17" name="Rounded Rectangle 16">
            <a:extLst>
              <a:ext uri="{FF2B5EF4-FFF2-40B4-BE49-F238E27FC236}">
                <a16:creationId xmlns:a16="http://schemas.microsoft.com/office/drawing/2014/main" id="{F29763B9-5A84-5148-A258-38DDECDE40B1}"/>
              </a:ext>
            </a:extLst>
          </xdr:cNvPr>
          <xdr:cNvSpPr/>
        </xdr:nvSpPr>
        <xdr:spPr>
          <a:xfrm>
            <a:off x="7439622" y="911225"/>
            <a:ext cx="3299498" cy="822960"/>
          </a:xfrm>
          <a:prstGeom prst="roundRect">
            <a:avLst>
              <a:gd name="adj" fmla="val 5729"/>
            </a:avLst>
          </a:prstGeom>
          <a:solidFill>
            <a:schemeClr val="bg1"/>
          </a:solidFill>
          <a:ln w="6350" cap="flat">
            <a:solidFill>
              <a:schemeClr val="bg1">
                <a:lumMod val="85000"/>
              </a:schemeClr>
            </a:solidFill>
            <a:prstDash val="solid"/>
            <a:miter lim="800000"/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45719" tIns="45719" rIns="45719" bIns="45719" numCol="1" spcCol="38100" rtlCol="0" anchor="ctr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851922C3-C881-7043-8ED4-9FDB72D8B729}"/>
              </a:ext>
            </a:extLst>
          </xdr:cNvPr>
          <xdr:cNvSpPr txBox="1"/>
        </xdr:nvSpPr>
        <xdr:spPr>
          <a:xfrm>
            <a:off x="7495140" y="976095"/>
            <a:ext cx="1618379" cy="28020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kumimoji="0" lang="en-GB" sz="1200" b="1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t>No. of Tracked Records</a:t>
            </a:r>
          </a:p>
        </xdr:txBody>
      </xdr:sp>
      <xdr:sp macro="" textlink="Calculations!E13">
        <xdr:nvSpPr>
          <xdr:cNvPr id="19" name="TextBox 18">
            <a:extLst>
              <a:ext uri="{FF2B5EF4-FFF2-40B4-BE49-F238E27FC236}">
                <a16:creationId xmlns:a16="http://schemas.microsoft.com/office/drawing/2014/main" id="{5CE00BFE-E479-CD47-BBE0-9D92C9A7A8A3}"/>
              </a:ext>
            </a:extLst>
          </xdr:cNvPr>
          <xdr:cNvSpPr txBox="1"/>
        </xdr:nvSpPr>
        <xdr:spPr>
          <a:xfrm>
            <a:off x="7495142" y="1283773"/>
            <a:ext cx="1425338" cy="287027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3579DAD6-1E3B-1542-8E6B-E0CB19E26E3B}" type="TxLink">
              <a:rPr kumimoji="0" lang="en-US" sz="1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 ₹850.00 </a:t>
            </a:fld>
            <a:endPara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Calculations!E14">
        <xdr:nvSpPr>
          <xdr:cNvPr id="20" name="TextBox 19">
            <a:extLst>
              <a:ext uri="{FF2B5EF4-FFF2-40B4-BE49-F238E27FC236}">
                <a16:creationId xmlns:a16="http://schemas.microsoft.com/office/drawing/2014/main" id="{4CF3511B-AFA5-4143-AD61-3D52AA553C61}"/>
              </a:ext>
            </a:extLst>
          </xdr:cNvPr>
          <xdr:cNvSpPr txBox="1"/>
        </xdr:nvSpPr>
        <xdr:spPr>
          <a:xfrm>
            <a:off x="8594745" y="1283773"/>
            <a:ext cx="2215495" cy="26298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45719" tIns="45719" rIns="45719" bIns="45719" numCol="1" spcCol="38100" rtlCol="0" anchor="t">
            <a:spAutoFit/>
          </a:bodyPr>
          <a:lstStyle/>
          <a:p>
            <a:pPr marL="0" marR="0" indent="0" algn="l" defTabSz="9144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fld id="{A95CF62E-8514-FD44-9C7F-1D2D67AAC735}" type="TxLink">
              <a:rPr kumimoji="0" lang="en-US" sz="10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Calibri"/>
                <a:ea typeface="Calibri"/>
                <a:cs typeface="Calibri"/>
                <a:sym typeface="Calibri"/>
              </a:rPr>
              <a:pPr marL="0" marR="0" indent="0" algn="l" defTabSz="9144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</a:pPr>
              <a:t>of tracked income left to be allocated</a:t>
            </a:fld>
            <a:endParaRPr kumimoji="0" lang="en-GB" sz="105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112390</xdr:colOff>
      <xdr:row>12</xdr:row>
      <xdr:rowOff>101150</xdr:rowOff>
    </xdr:from>
    <xdr:ext cx="4652920" cy="29584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53E010-E1F6-0C82-F68D-E12376EA503F}"/>
            </a:ext>
          </a:extLst>
        </xdr:cNvPr>
        <xdr:cNvSpPr txBox="1"/>
      </xdr:nvSpPr>
      <xdr:spPr>
        <a:xfrm>
          <a:off x="8567297" y="2441243"/>
          <a:ext cx="4652920" cy="295848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00B05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Income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chemeClr val="accent6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 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Categories (Tracked)</a:t>
          </a:r>
        </a:p>
      </xdr:txBody>
    </xdr:sp>
    <xdr:clientData/>
  </xdr:oneCellAnchor>
  <xdr:twoCellAnchor editAs="oneCell">
    <xdr:from>
      <xdr:col>31</xdr:col>
      <xdr:colOff>112390</xdr:colOff>
      <xdr:row>14</xdr:row>
      <xdr:rowOff>19877</xdr:rowOff>
    </xdr:from>
    <xdr:to>
      <xdr:col>32</xdr:col>
      <xdr:colOff>706706</xdr:colOff>
      <xdr:row>22</xdr:row>
      <xdr:rowOff>1670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62F9E5-592F-9346-957C-1E9C3C5EE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31</xdr:col>
      <xdr:colOff>112390</xdr:colOff>
      <xdr:row>25</xdr:row>
      <xdr:rowOff>101150</xdr:rowOff>
    </xdr:from>
    <xdr:ext cx="4652920" cy="29584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522CC5-64F4-D247-9CFF-117B8B62B381}"/>
            </a:ext>
          </a:extLst>
        </xdr:cNvPr>
        <xdr:cNvSpPr txBox="1"/>
      </xdr:nvSpPr>
      <xdr:spPr>
        <a:xfrm>
          <a:off x="8414427" y="2441243"/>
          <a:ext cx="4652920" cy="295848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Expenses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chemeClr val="accent6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 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Categories (Tracked)</a:t>
          </a:r>
        </a:p>
      </xdr:txBody>
    </xdr:sp>
    <xdr:clientData/>
  </xdr:oneCellAnchor>
  <xdr:oneCellAnchor>
    <xdr:from>
      <xdr:col>31</xdr:col>
      <xdr:colOff>112390</xdr:colOff>
      <xdr:row>27</xdr:row>
      <xdr:rowOff>31636</xdr:rowOff>
    </xdr:from>
    <xdr:ext cx="1605612" cy="1581053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EDA22D-3401-6444-8570-EC229E81F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38</xdr:col>
      <xdr:colOff>112390</xdr:colOff>
      <xdr:row>25</xdr:row>
      <xdr:rowOff>101150</xdr:rowOff>
    </xdr:from>
    <xdr:ext cx="4652920" cy="29584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FE1E57-ED7A-BB4D-8D60-3134216E4F27}"/>
            </a:ext>
          </a:extLst>
        </xdr:cNvPr>
        <xdr:cNvSpPr txBox="1"/>
      </xdr:nvSpPr>
      <xdr:spPr>
        <a:xfrm>
          <a:off x="8459655" y="5192005"/>
          <a:ext cx="4652920" cy="295848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chemeClr val="accent1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Savings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chemeClr val="accent6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 </a:t>
          </a: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Categories (Tracked)</a:t>
          </a:r>
        </a:p>
      </xdr:txBody>
    </xdr:sp>
    <xdr:clientData/>
  </xdr:oneCellAnchor>
  <xdr:oneCellAnchor>
    <xdr:from>
      <xdr:col>38</xdr:col>
      <xdr:colOff>112390</xdr:colOff>
      <xdr:row>27</xdr:row>
      <xdr:rowOff>31636</xdr:rowOff>
    </xdr:from>
    <xdr:ext cx="1605612" cy="1581053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24F6D8-5346-3844-8108-14666092A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38</xdr:col>
      <xdr:colOff>112390</xdr:colOff>
      <xdr:row>12</xdr:row>
      <xdr:rowOff>101150</xdr:rowOff>
    </xdr:from>
    <xdr:ext cx="4652920" cy="29584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2DF716E-2D7C-ED46-8B1A-C0AFA4928B2B}"/>
            </a:ext>
          </a:extLst>
        </xdr:cNvPr>
        <xdr:cNvSpPr txBox="1"/>
      </xdr:nvSpPr>
      <xdr:spPr>
        <a:xfrm>
          <a:off x="13401670" y="2488750"/>
          <a:ext cx="4652920" cy="295848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3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Tracked (vs.Budget)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3C746-5092-7840-BEC8-CD6CA0578A50}" name="Income" displayName="Income" ref="C10:C13" totalsRowShown="0" headerRowDxfId="55" dataDxfId="53" headerRowBorderDxfId="54" tableBorderDxfId="52">
  <autoFilter ref="C10:C13" xr:uid="{D9B3C746-5092-7840-BEC8-CD6CA0578A50}"/>
  <tableColumns count="1">
    <tableColumn id="1" xr3:uid="{F7ECD36B-DA44-2E4E-95DB-1BEC77605A82}" name="Income" dataDxfId="51"/>
  </tableColumns>
  <tableStyleInfo name="Income Table 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6942AD-08DE-9D4E-B4BD-B6EA81041053}" name="Expenses" displayName="Expenses" ref="C29:C41" totalsRowShown="0">
  <autoFilter ref="C29:C41" xr:uid="{276942AD-08DE-9D4E-B4BD-B6EA81041053}"/>
  <tableColumns count="1">
    <tableColumn id="1" xr3:uid="{222A6948-32D9-3148-8E81-22F7E1F41475}" name="Expenses"/>
  </tableColumns>
  <tableStyleInfo name="Expense Table 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9FB270-C6AE-A844-B34E-E90055630CCC}" name="Savings" displayName="Savings" ref="C48:C54" totalsRowShown="0">
  <autoFilter ref="C48:C54" xr:uid="{F29FB270-C6AE-A844-B34E-E90055630CCC}"/>
  <tableColumns count="1">
    <tableColumn id="1" xr3:uid="{2189C69E-BC02-4741-838E-87BA4FCBAEC1}" name="Savings"/>
  </tableColumns>
  <tableStyleInfo name="Savings Table 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07754B-FF98-6543-9DC6-8318ED459D7E}" name="Tracking" displayName="Tracking" ref="C11:I19" totalsRowShown="0" headerRowDxfId="50" dataDxfId="49">
  <autoFilter ref="C11:I19" xr:uid="{5D07754B-FF98-6543-9DC6-8318ED459D7E}"/>
  <tableColumns count="7">
    <tableColumn id="1" xr3:uid="{EAD7D78C-BB3C-FE43-913C-73DC5015FA03}" name="Date" dataDxfId="48"/>
    <tableColumn id="2" xr3:uid="{5C5D3777-3319-9345-BD0B-C8F9DCD49523}" name="Type" dataDxfId="47"/>
    <tableColumn id="3" xr3:uid="{CF15BEC5-79E1-3246-8681-E9B17291A9D4}" name="Category" dataDxfId="46"/>
    <tableColumn id="4" xr3:uid="{2A8872D8-4E02-F94D-B54F-A066229C96E1}" name="Amount" dataDxfId="45"/>
    <tableColumn id="5" xr3:uid="{B7004E85-FF52-4E43-B24C-B965A457193D}" name="Details" dataDxfId="44"/>
    <tableColumn id="6" xr3:uid="{EF1B054D-1ABB-9247-944B-F23B7D551749}" name="Balance" dataDxfId="43">
      <calculatedColumnFormula array="1">SUMPRODUCT(Tracking[Amount], --(Tracking[Date]&lt;=Tracking[[#This Row],[Date]]), (Tracking[Type]&lt;&gt;"Income") * (-1) + (Tracking[Type]="Income"))</calculatedColumnFormula>
    </tableColumn>
    <tableColumn id="7" xr3:uid="{221EFDC8-E9DE-C646-889C-BFB0531BBD9A}" name="Effective Date" dataDxfId="42">
      <calculatedColumnFormula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calculatedColumnFormula>
    </tableColumn>
  </tableColumns>
  <tableStyleInfo name="Tracking Table Style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showGridLines="0" zoomScale="150" workbookViewId="0">
      <selection activeCell="E2" sqref="E2"/>
    </sheetView>
  </sheetViews>
  <sheetFormatPr baseColWidth="10" defaultColWidth="10.83203125" defaultRowHeight="16" customHeight="1" x14ac:dyDescent="0.2"/>
  <cols>
    <col min="1" max="1" width="10.83203125" style="1" customWidth="1"/>
    <col min="2" max="3" width="3.83203125" style="1" customWidth="1"/>
    <col min="4" max="4" width="26.1640625" style="1" customWidth="1"/>
    <col min="5" max="5" width="20" style="1" customWidth="1"/>
    <col min="6" max="6" width="3.83203125" style="1" customWidth="1"/>
    <col min="7" max="7" width="50.6640625" style="1" customWidth="1"/>
    <col min="8" max="8" width="3.83203125" style="1" customWidth="1"/>
    <col min="9" max="9" width="10.83203125" style="1" customWidth="1"/>
    <col min="10" max="16384" width="10.83203125" style="1"/>
  </cols>
  <sheetData>
    <row r="1" spans="1:9" s="48" customFormat="1" ht="10" customHeight="1" x14ac:dyDescent="0.2">
      <c r="A1" s="45"/>
      <c r="B1" s="46"/>
      <c r="C1" s="46"/>
      <c r="D1" s="46"/>
      <c r="E1" s="46"/>
      <c r="F1" s="46"/>
      <c r="G1" s="46"/>
      <c r="H1" s="46"/>
      <c r="I1" s="47"/>
    </row>
    <row r="2" spans="1:9" s="48" customFormat="1" ht="29" customHeight="1" x14ac:dyDescent="0.2">
      <c r="A2" s="49"/>
      <c r="B2" s="50" t="s">
        <v>0</v>
      </c>
      <c r="C2" s="51"/>
      <c r="D2" s="51"/>
      <c r="E2" s="51"/>
      <c r="F2" s="51"/>
      <c r="G2" s="51"/>
      <c r="H2" s="51"/>
      <c r="I2" s="47"/>
    </row>
    <row r="3" spans="1:9" s="48" customFormat="1" ht="10" customHeight="1" x14ac:dyDescent="0.2">
      <c r="A3" s="49"/>
      <c r="B3" s="51"/>
      <c r="C3" s="51"/>
      <c r="D3" s="51"/>
      <c r="E3" s="51"/>
      <c r="F3" s="51"/>
      <c r="G3" s="51"/>
      <c r="H3" s="51"/>
      <c r="I3" s="47"/>
    </row>
    <row r="4" spans="1:9" ht="15.25" customHeight="1" x14ac:dyDescent="0.2">
      <c r="A4" s="2"/>
      <c r="B4" s="3"/>
      <c r="C4" s="3"/>
      <c r="D4" s="3"/>
      <c r="E4" s="3"/>
      <c r="F4" s="3"/>
      <c r="G4" s="3"/>
      <c r="H4" s="3"/>
      <c r="I4" s="41"/>
    </row>
    <row r="5" spans="1:9" ht="15.25" customHeight="1" x14ac:dyDescent="0.2">
      <c r="A5" s="2"/>
      <c r="B5" s="4"/>
      <c r="C5" s="4"/>
      <c r="D5" s="4"/>
      <c r="E5" s="4"/>
      <c r="F5" s="4"/>
      <c r="G5" s="4"/>
      <c r="H5" s="4"/>
      <c r="I5" s="41"/>
    </row>
    <row r="6" spans="1:9" ht="15.25" customHeight="1" x14ac:dyDescent="0.2">
      <c r="A6" s="5"/>
      <c r="B6" s="144" t="s">
        <v>1</v>
      </c>
      <c r="C6" s="145"/>
      <c r="D6" s="145"/>
      <c r="E6" s="145"/>
      <c r="F6" s="145"/>
      <c r="G6" s="145"/>
      <c r="H6" s="146"/>
      <c r="I6" s="41"/>
    </row>
    <row r="7" spans="1:9" ht="15.25" customHeight="1" x14ac:dyDescent="0.2">
      <c r="A7" s="5"/>
      <c r="B7" s="6"/>
      <c r="C7" s="3"/>
      <c r="D7" s="3"/>
      <c r="E7" s="3"/>
      <c r="F7" s="3"/>
      <c r="G7" s="3"/>
      <c r="H7" s="42"/>
      <c r="I7" s="41"/>
    </row>
    <row r="8" spans="1:9" ht="15.25" customHeight="1" x14ac:dyDescent="0.2">
      <c r="A8" s="5"/>
      <c r="B8" s="6"/>
      <c r="C8" s="3"/>
      <c r="D8" s="24" t="s">
        <v>2</v>
      </c>
      <c r="E8" s="7">
        <v>2022</v>
      </c>
      <c r="F8" s="3"/>
      <c r="G8" s="8" t="s">
        <v>3</v>
      </c>
      <c r="H8" s="42"/>
      <c r="I8" s="41"/>
    </row>
    <row r="9" spans="1:9" ht="15.25" customHeight="1" x14ac:dyDescent="0.2">
      <c r="A9" s="5"/>
      <c r="B9" s="9"/>
      <c r="C9" s="4"/>
      <c r="D9" s="4"/>
      <c r="E9" s="4"/>
      <c r="F9" s="4"/>
      <c r="G9" s="4"/>
      <c r="H9" s="43"/>
      <c r="I9" s="41"/>
    </row>
    <row r="10" spans="1:9" ht="15.25" customHeight="1" x14ac:dyDescent="0.2">
      <c r="A10" s="2"/>
      <c r="B10" s="40"/>
      <c r="C10" s="40"/>
      <c r="D10" s="40"/>
      <c r="E10" s="40"/>
      <c r="F10" s="40"/>
      <c r="G10" s="40"/>
      <c r="H10" s="40"/>
      <c r="I10" s="41"/>
    </row>
    <row r="11" spans="1:9" ht="16" customHeight="1" x14ac:dyDescent="0.2">
      <c r="A11" s="41"/>
      <c r="B11" s="41"/>
      <c r="C11" s="41"/>
      <c r="D11" s="41"/>
      <c r="E11" s="41"/>
      <c r="F11" s="41"/>
      <c r="G11" s="41"/>
      <c r="H11" s="41"/>
      <c r="I11" s="41"/>
    </row>
    <row r="12" spans="1:9" ht="16" customHeight="1" x14ac:dyDescent="0.2">
      <c r="A12" s="41"/>
      <c r="B12" s="147" t="s">
        <v>43</v>
      </c>
      <c r="C12" s="145"/>
      <c r="D12" s="145"/>
      <c r="E12" s="145"/>
      <c r="F12" s="145"/>
      <c r="G12" s="145"/>
      <c r="H12" s="146"/>
      <c r="I12" s="41"/>
    </row>
    <row r="13" spans="1:9" ht="16" customHeight="1" x14ac:dyDescent="0.2">
      <c r="A13" s="41"/>
      <c r="B13" s="6"/>
      <c r="C13" s="3"/>
      <c r="D13" s="3"/>
      <c r="E13" s="3"/>
      <c r="F13" s="3"/>
      <c r="G13" s="3"/>
      <c r="H13" s="42"/>
      <c r="I13" s="41"/>
    </row>
    <row r="14" spans="1:9" ht="16" customHeight="1" x14ac:dyDescent="0.2">
      <c r="A14" s="41"/>
      <c r="B14" s="6"/>
      <c r="C14" s="3"/>
      <c r="D14" s="63" t="s">
        <v>44</v>
      </c>
      <c r="E14" s="3"/>
      <c r="F14" s="3"/>
      <c r="G14" s="3"/>
      <c r="H14" s="42"/>
      <c r="I14" s="41"/>
    </row>
    <row r="15" spans="1:9" ht="16" customHeight="1" x14ac:dyDescent="0.2">
      <c r="A15" s="41"/>
      <c r="B15" s="6"/>
      <c r="C15" s="3"/>
      <c r="D15" s="3"/>
      <c r="E15" s="3"/>
      <c r="F15" s="3"/>
      <c r="G15" s="3"/>
      <c r="H15" s="42"/>
      <c r="I15" s="41"/>
    </row>
    <row r="16" spans="1:9" ht="16" customHeight="1" x14ac:dyDescent="0.2">
      <c r="A16" s="41"/>
      <c r="B16" s="6"/>
      <c r="C16" s="3"/>
      <c r="D16" s="24" t="s">
        <v>45</v>
      </c>
      <c r="E16" s="7" t="s">
        <v>46</v>
      </c>
      <c r="F16" s="3"/>
      <c r="G16" s="148" t="s">
        <v>48</v>
      </c>
      <c r="H16" s="42"/>
      <c r="I16" s="41"/>
    </row>
    <row r="17" spans="2:8" ht="16" customHeight="1" x14ac:dyDescent="0.2">
      <c r="B17" s="64"/>
      <c r="C17" s="3"/>
      <c r="D17" s="3"/>
      <c r="E17" s="3"/>
      <c r="F17" s="3"/>
      <c r="G17" s="148"/>
      <c r="H17" s="42"/>
    </row>
    <row r="18" spans="2:8" ht="16" customHeight="1" x14ac:dyDescent="0.2">
      <c r="B18" s="65"/>
      <c r="C18" s="41"/>
      <c r="D18" s="24" t="s">
        <v>47</v>
      </c>
      <c r="E18" s="7">
        <v>20</v>
      </c>
      <c r="F18" s="41"/>
      <c r="G18" s="148"/>
      <c r="H18" s="66"/>
    </row>
    <row r="19" spans="2:8" ht="16" customHeight="1" x14ac:dyDescent="0.2">
      <c r="B19" s="65"/>
      <c r="C19" s="41"/>
      <c r="D19" s="41"/>
      <c r="E19" s="41"/>
      <c r="F19" s="41"/>
      <c r="G19" s="41"/>
      <c r="H19" s="66"/>
    </row>
    <row r="20" spans="2:8" ht="16" customHeight="1" x14ac:dyDescent="0.2">
      <c r="B20" s="65"/>
      <c r="C20" s="41"/>
      <c r="D20" s="41"/>
      <c r="E20" s="41"/>
      <c r="F20" s="41"/>
      <c r="G20" s="41"/>
      <c r="H20" s="66"/>
    </row>
    <row r="21" spans="2:8" ht="16" customHeight="1" x14ac:dyDescent="0.2">
      <c r="B21" s="65"/>
      <c r="C21" s="41"/>
      <c r="D21" s="41"/>
      <c r="E21" s="41"/>
      <c r="F21" s="41"/>
      <c r="G21" s="41"/>
      <c r="H21" s="66"/>
    </row>
    <row r="22" spans="2:8" ht="16" customHeight="1" x14ac:dyDescent="0.2">
      <c r="B22" s="65"/>
      <c r="C22" s="41"/>
      <c r="D22" s="41"/>
      <c r="E22" s="41"/>
      <c r="F22" s="41"/>
      <c r="G22" s="41"/>
      <c r="H22" s="66"/>
    </row>
    <row r="23" spans="2:8" ht="16" customHeight="1" x14ac:dyDescent="0.2">
      <c r="B23" s="65"/>
      <c r="C23" s="41"/>
      <c r="D23" s="41"/>
      <c r="E23" s="41"/>
      <c r="F23" s="41"/>
      <c r="G23" s="41"/>
      <c r="H23" s="66"/>
    </row>
    <row r="24" spans="2:8" ht="16" customHeight="1" x14ac:dyDescent="0.2">
      <c r="B24" s="67"/>
      <c r="C24" s="68"/>
      <c r="D24" s="68"/>
      <c r="E24" s="68"/>
      <c r="F24" s="68"/>
      <c r="G24" s="68"/>
      <c r="H24" s="69"/>
    </row>
  </sheetData>
  <mergeCells count="3">
    <mergeCell ref="B6:H6"/>
    <mergeCell ref="B12:H12"/>
    <mergeCell ref="G16:G18"/>
  </mergeCells>
  <conditionalFormatting sqref="E18">
    <cfRule type="expression" dxfId="41" priority="1" stopIfTrue="1">
      <formula>Shift_late_income_status="Inactive"</formula>
    </cfRule>
  </conditionalFormatting>
  <dataValidations count="1">
    <dataValidation type="list" allowBlank="1" showInputMessage="1" showErrorMessage="1" sqref="E16" xr:uid="{37A0BFF9-0557-D143-AB14-2F90CE651BB6}">
      <formula1>"Active, Inactive"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B65"/>
  <sheetViews>
    <sheetView showGridLines="0" zoomScaleNormal="62" workbookViewId="0">
      <selection activeCell="C48" sqref="C48"/>
    </sheetView>
  </sheetViews>
  <sheetFormatPr baseColWidth="10" defaultColWidth="10.83203125" defaultRowHeight="16" customHeight="1" outlineLevelCol="1" x14ac:dyDescent="0.2"/>
  <cols>
    <col min="1" max="2" width="5.83203125" style="1" customWidth="1"/>
    <col min="3" max="3" width="56.83203125" style="1" customWidth="1"/>
    <col min="4" max="4" width="3.83203125" style="1" customWidth="1"/>
    <col min="5" max="5" width="10.83203125" style="1" customWidth="1" outlineLevel="1"/>
    <col min="6" max="6" width="12" style="1" customWidth="1" outlineLevel="1"/>
    <col min="7" max="7" width="10.83203125" style="1" customWidth="1" outlineLevel="1"/>
    <col min="8" max="8" width="13" style="1" customWidth="1" outlineLevel="1"/>
    <col min="9" max="9" width="11.5" style="1" bestFit="1" customWidth="1" outlineLevel="1"/>
    <col min="10" max="16" width="10.83203125" style="1" customWidth="1" outlineLevel="1"/>
    <col min="17" max="17" width="13" style="1" bestFit="1" customWidth="1"/>
    <col min="18" max="18" width="3.83203125" style="1" customWidth="1"/>
    <col min="19" max="19" width="0" style="1" hidden="1" customWidth="1" outlineLevel="1"/>
    <col min="20" max="20" width="12" style="1" hidden="1" customWidth="1" outlineLevel="1"/>
    <col min="21" max="21" width="0" style="1" hidden="1" customWidth="1" outlineLevel="1"/>
    <col min="22" max="22" width="13" style="1" hidden="1" customWidth="1" outlineLevel="1"/>
    <col min="23" max="30" width="0" style="1" hidden="1" customWidth="1" outlineLevel="1"/>
    <col min="31" max="31" width="13" style="1" bestFit="1" customWidth="1" collapsed="1"/>
    <col min="32" max="32" width="3.83203125" style="1" customWidth="1"/>
    <col min="33" max="33" width="0" style="1" hidden="1" customWidth="1" outlineLevel="1"/>
    <col min="34" max="34" width="12" style="1" hidden="1" customWidth="1" outlineLevel="1"/>
    <col min="35" max="35" width="0" style="1" hidden="1" customWidth="1" outlineLevel="1"/>
    <col min="36" max="36" width="13" style="1" hidden="1" customWidth="1" outlineLevel="1"/>
    <col min="37" max="44" width="0" style="1" hidden="1" customWidth="1" outlineLevel="1"/>
    <col min="45" max="45" width="13" style="1" bestFit="1" customWidth="1" collapsed="1"/>
    <col min="46" max="46" width="3.83203125" style="1" customWidth="1"/>
    <col min="47" max="47" width="0" style="1" hidden="1" customWidth="1" outlineLevel="1"/>
    <col min="48" max="48" width="12" style="1" hidden="1" customWidth="1" outlineLevel="1"/>
    <col min="49" max="49" width="0" style="1" hidden="1" customWidth="1" outlineLevel="1"/>
    <col min="50" max="50" width="13" style="1" hidden="1" customWidth="1" outlineLevel="1"/>
    <col min="51" max="58" width="0" style="1" hidden="1" customWidth="1" outlineLevel="1"/>
    <col min="59" max="59" width="13" style="1" bestFit="1" customWidth="1" collapsed="1"/>
    <col min="60" max="60" width="3.83203125" style="1" customWidth="1"/>
    <col min="61" max="61" width="0" style="1" hidden="1" customWidth="1" outlineLevel="1"/>
    <col min="62" max="62" width="12" style="1" hidden="1" customWidth="1" outlineLevel="1"/>
    <col min="63" max="63" width="0" style="1" hidden="1" customWidth="1" outlineLevel="1"/>
    <col min="64" max="64" width="13" style="1" hidden="1" customWidth="1" outlineLevel="1"/>
    <col min="65" max="72" width="0" style="1" hidden="1" customWidth="1" outlineLevel="1"/>
    <col min="73" max="73" width="13" style="1" bestFit="1" customWidth="1" collapsed="1"/>
    <col min="74" max="74" width="3.83203125" style="1" customWidth="1"/>
    <col min="75" max="75" width="0" style="1" hidden="1" customWidth="1" outlineLevel="1"/>
    <col min="76" max="76" width="12" style="1" hidden="1" customWidth="1" outlineLevel="1"/>
    <col min="77" max="77" width="0" style="1" hidden="1" customWidth="1" outlineLevel="1"/>
    <col min="78" max="78" width="13" style="1" hidden="1" customWidth="1" outlineLevel="1"/>
    <col min="79" max="86" width="0" style="1" hidden="1" customWidth="1" outlineLevel="1"/>
    <col min="87" max="87" width="13" style="1" bestFit="1" customWidth="1" collapsed="1"/>
    <col min="88" max="88" width="3.83203125" style="1" customWidth="1"/>
    <col min="89" max="89" width="0" style="1" hidden="1" customWidth="1" outlineLevel="1"/>
    <col min="90" max="90" width="12" style="1" hidden="1" customWidth="1" outlineLevel="1"/>
    <col min="91" max="91" width="0" style="1" hidden="1" customWidth="1" outlineLevel="1"/>
    <col min="92" max="92" width="13" style="1" hidden="1" customWidth="1" outlineLevel="1"/>
    <col min="93" max="100" width="0" style="1" hidden="1" customWidth="1" outlineLevel="1"/>
    <col min="101" max="101" width="13" style="1" bestFit="1" customWidth="1" collapsed="1"/>
    <col min="102" max="102" width="3.83203125" style="1" customWidth="1"/>
    <col min="103" max="103" width="0" style="1" hidden="1" customWidth="1" outlineLevel="1"/>
    <col min="104" max="104" width="12" style="1" hidden="1" customWidth="1" outlineLevel="1"/>
    <col min="105" max="105" width="0" style="1" hidden="1" customWidth="1" outlineLevel="1"/>
    <col min="106" max="106" width="13" style="1" hidden="1" customWidth="1" outlineLevel="1"/>
    <col min="107" max="114" width="0" style="1" hidden="1" customWidth="1" outlineLevel="1"/>
    <col min="115" max="115" width="13" style="1" bestFit="1" customWidth="1" collapsed="1"/>
    <col min="116" max="116" width="3.83203125" style="1" customWidth="1"/>
    <col min="117" max="117" width="0" style="1" hidden="1" customWidth="1" outlineLevel="1"/>
    <col min="118" max="118" width="12" style="1" hidden="1" customWidth="1" outlineLevel="1"/>
    <col min="119" max="119" width="0" style="1" hidden="1" customWidth="1" outlineLevel="1"/>
    <col min="120" max="120" width="13" style="1" hidden="1" customWidth="1" outlineLevel="1"/>
    <col min="121" max="128" width="0" style="1" hidden="1" customWidth="1" outlineLevel="1"/>
    <col min="129" max="129" width="13" style="1" bestFit="1" customWidth="1" collapsed="1"/>
    <col min="130" max="130" width="3.83203125" style="1" customWidth="1"/>
    <col min="131" max="131" width="0" style="1" hidden="1" customWidth="1" outlineLevel="1"/>
    <col min="132" max="132" width="12" style="1" hidden="1" customWidth="1" outlineLevel="1"/>
    <col min="133" max="133" width="0" style="1" hidden="1" customWidth="1" outlineLevel="1"/>
    <col min="134" max="134" width="13" style="1" hidden="1" customWidth="1" outlineLevel="1"/>
    <col min="135" max="142" width="0" style="1" hidden="1" customWidth="1" outlineLevel="1"/>
    <col min="143" max="143" width="13" style="1" bestFit="1" customWidth="1" collapsed="1"/>
    <col min="144" max="144" width="3.83203125" style="1" customWidth="1"/>
    <col min="145" max="145" width="0" style="1" hidden="1" customWidth="1" outlineLevel="1"/>
    <col min="146" max="146" width="12" style="1" hidden="1" customWidth="1" outlineLevel="1"/>
    <col min="147" max="147" width="0" style="1" hidden="1" customWidth="1" outlineLevel="1"/>
    <col min="148" max="148" width="13" style="1" hidden="1" customWidth="1" outlineLevel="1"/>
    <col min="149" max="156" width="0" style="1" hidden="1" customWidth="1" outlineLevel="1"/>
    <col min="157" max="157" width="13" style="1" bestFit="1" customWidth="1" collapsed="1"/>
    <col min="158" max="158" width="3.83203125" style="1" customWidth="1"/>
    <col min="159" max="16384" width="10.83203125" style="1"/>
  </cols>
  <sheetData>
    <row r="1" spans="1:158" s="48" customFormat="1" ht="10" customHeight="1" x14ac:dyDescent="0.2">
      <c r="A1" s="52"/>
      <c r="B1" s="53"/>
      <c r="C1" s="54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</row>
    <row r="2" spans="1:158" s="48" customFormat="1" ht="29" customHeight="1" x14ac:dyDescent="0.35">
      <c r="A2" s="55"/>
      <c r="B2" s="56" t="s">
        <v>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</row>
    <row r="3" spans="1:158" s="48" customFormat="1" ht="10" customHeight="1" x14ac:dyDescent="0.2">
      <c r="A3" s="55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</row>
    <row r="4" spans="1:158" ht="15.25" customHeight="1" x14ac:dyDescent="0.2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</row>
    <row r="5" spans="1:158" ht="15.25" customHeight="1" x14ac:dyDescent="0.2">
      <c r="A5" s="10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1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1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1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1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1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1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1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1"/>
    </row>
    <row r="6" spans="1:158" ht="15.25" customHeight="1" x14ac:dyDescent="0.2">
      <c r="A6" s="10"/>
      <c r="B6" s="11"/>
      <c r="C6" s="11"/>
      <c r="D6" s="13"/>
      <c r="E6" s="149">
        <f>Starting_Year</f>
        <v>2022</v>
      </c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1"/>
      <c r="R6" s="19"/>
      <c r="S6" s="149">
        <f>E6+1</f>
        <v>2023</v>
      </c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1"/>
      <c r="AF6" s="19"/>
      <c r="AG6" s="149">
        <f t="shared" ref="AG6" si="0">S6+1</f>
        <v>2024</v>
      </c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1"/>
      <c r="AT6" s="19"/>
      <c r="AU6" s="149">
        <f t="shared" ref="AU6" si="1">AG6+1</f>
        <v>2025</v>
      </c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1"/>
      <c r="BH6" s="19"/>
      <c r="BI6" s="149">
        <f t="shared" ref="BI6" si="2">AU6+1</f>
        <v>2026</v>
      </c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1"/>
      <c r="BV6" s="19"/>
      <c r="BW6" s="149">
        <f t="shared" ref="BW6" si="3">BI6+1</f>
        <v>2027</v>
      </c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1"/>
      <c r="CJ6" s="19"/>
      <c r="CK6" s="149">
        <f t="shared" ref="CK6" si="4">BW6+1</f>
        <v>2028</v>
      </c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1"/>
      <c r="CX6" s="19"/>
      <c r="CY6" s="149">
        <f t="shared" ref="CY6" si="5">CK6+1</f>
        <v>2029</v>
      </c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1"/>
      <c r="DL6" s="19"/>
      <c r="DM6" s="149">
        <f t="shared" ref="DM6" si="6">CY6+1</f>
        <v>2030</v>
      </c>
      <c r="DN6" s="150"/>
      <c r="DO6" s="150"/>
      <c r="DP6" s="150"/>
      <c r="DQ6" s="150"/>
      <c r="DR6" s="150"/>
      <c r="DS6" s="150"/>
      <c r="DT6" s="150"/>
      <c r="DU6" s="150"/>
      <c r="DV6" s="150"/>
      <c r="DW6" s="150"/>
      <c r="DX6" s="150"/>
      <c r="DY6" s="151"/>
      <c r="DZ6" s="19"/>
      <c r="EA6" s="149">
        <f t="shared" ref="EA6" si="7">DM6+1</f>
        <v>2031</v>
      </c>
      <c r="EB6" s="150"/>
      <c r="EC6" s="150"/>
      <c r="ED6" s="150"/>
      <c r="EE6" s="150"/>
      <c r="EF6" s="150"/>
      <c r="EG6" s="150"/>
      <c r="EH6" s="150"/>
      <c r="EI6" s="150"/>
      <c r="EJ6" s="150"/>
      <c r="EK6" s="150"/>
      <c r="EL6" s="150"/>
      <c r="EM6" s="151"/>
      <c r="EN6" s="19"/>
      <c r="EO6" s="149">
        <f t="shared" ref="EO6" si="8">EA6+1</f>
        <v>2032</v>
      </c>
      <c r="EP6" s="150"/>
      <c r="EQ6" s="150"/>
      <c r="ER6" s="150"/>
      <c r="ES6" s="150"/>
      <c r="ET6" s="150"/>
      <c r="EU6" s="150"/>
      <c r="EV6" s="150"/>
      <c r="EW6" s="150"/>
      <c r="EX6" s="150"/>
      <c r="EY6" s="150"/>
      <c r="EZ6" s="150"/>
      <c r="FA6" s="151"/>
      <c r="FB6" s="19"/>
    </row>
    <row r="7" spans="1:158" ht="15.25" customHeight="1" x14ac:dyDescent="0.2">
      <c r="A7" s="10"/>
      <c r="B7" s="11"/>
      <c r="C7" s="11"/>
      <c r="D7" s="14"/>
      <c r="E7" s="15" t="str" cm="1">
        <f t="array" aca="1" ref="E7" ca="1">IF(E8=0,"Jan ✓","Jan")</f>
        <v>Jan</v>
      </c>
      <c r="F7" s="15" t="str" cm="1">
        <f t="array" aca="1" ref="F7" ca="1">IF(F8=0,"Feb ✓","Feb")</f>
        <v>Feb</v>
      </c>
      <c r="G7" s="15" t="str" cm="1">
        <f t="array" aca="1" ref="G7" ca="1">IF(G8=0,"Mar ✓","Mar")</f>
        <v>Mar</v>
      </c>
      <c r="H7" s="15" t="str" cm="1">
        <f t="array" aca="1" ref="H7" ca="1">IF(H8=0,"Apr ✓","Apr")</f>
        <v>Apr ✓</v>
      </c>
      <c r="I7" s="15" t="str" cm="1">
        <f t="array" aca="1" ref="I7" ca="1">IF(I8=0,"May ✓","May")</f>
        <v>May</v>
      </c>
      <c r="J7" s="15" t="str" cm="1">
        <f t="array" aca="1" ref="J7" ca="1">IF(J8=0,"Jun ✓","Jun")</f>
        <v>Jun</v>
      </c>
      <c r="K7" s="15" t="str" cm="1">
        <f t="array" aca="1" ref="K7" ca="1">IF(K8=0,"Jul ✓","Jul")</f>
        <v>Jul ✓</v>
      </c>
      <c r="L7" s="15" t="str" cm="1">
        <f t="array" aca="1" ref="L7" ca="1">IF(L8=0,"Aug ✓","Aug")</f>
        <v>Aug ✓</v>
      </c>
      <c r="M7" s="15" t="str" cm="1">
        <f t="array" aca="1" ref="M7" ca="1">IF(M8=0,"Sep ✓","Sep")</f>
        <v>Sep ✓</v>
      </c>
      <c r="N7" s="15" t="str" cm="1">
        <f t="array" aca="1" ref="N7" ca="1">IF(N8=0,"Oct ✓","Oct")</f>
        <v>Oct ✓</v>
      </c>
      <c r="O7" s="15" t="str" cm="1">
        <f t="array" aca="1" ref="O7" ca="1">IF(O8=0,"Nov ✓","Nov")</f>
        <v>Nov ✓</v>
      </c>
      <c r="P7" s="15" t="str" cm="1">
        <f t="array" aca="1" ref="P7" ca="1">IF(P8=0,"Dec ✓","Dec'")</f>
        <v>Dec ✓</v>
      </c>
      <c r="Q7" s="15" t="str" cm="1">
        <f t="array" aca="1" ref="Q7" ca="1">IF(Q8=0,"Total ✓","Total")</f>
        <v>Total</v>
      </c>
      <c r="R7" s="44"/>
      <c r="S7" s="15" t="str" cm="1">
        <f t="array" aca="1" ref="S7" ca="1">IF(S8=0,"Jan ✓","Jan")</f>
        <v>Jan ✓</v>
      </c>
      <c r="T7" s="15" t="str" cm="1">
        <f t="array" aca="1" ref="T7" ca="1">IF(T8=0,"Feb ✓","Feb")</f>
        <v>Feb ✓</v>
      </c>
      <c r="U7" s="15" t="str" cm="1">
        <f t="array" aca="1" ref="U7" ca="1">IF(U8=0,"Mar ✓","Mar")</f>
        <v>Mar ✓</v>
      </c>
      <c r="V7" s="15" t="str" cm="1">
        <f t="array" aca="1" ref="V7" ca="1">IF(V8=0,"Apr ✓","Apr")</f>
        <v>Apr ✓</v>
      </c>
      <c r="W7" s="15" t="str" cm="1">
        <f t="array" aca="1" ref="W7" ca="1">IF(W8=0,"May ✓","May")</f>
        <v>May ✓</v>
      </c>
      <c r="X7" s="15" t="str" cm="1">
        <f t="array" aca="1" ref="X7" ca="1">IF(X8=0,"Jun ✓","Jun")</f>
        <v>Jun ✓</v>
      </c>
      <c r="Y7" s="15" t="str" cm="1">
        <f t="array" aca="1" ref="Y7" ca="1">IF(Y8=0,"Jul ✓","Jul")</f>
        <v>Jul ✓</v>
      </c>
      <c r="Z7" s="15" t="str" cm="1">
        <f t="array" aca="1" ref="Z7" ca="1">IF(Z8=0,"Aug ✓","Aug")</f>
        <v>Aug ✓</v>
      </c>
      <c r="AA7" s="15" t="str" cm="1">
        <f t="array" aca="1" ref="AA7" ca="1">IF(AA8=0,"Sep ✓","Sep")</f>
        <v>Sep ✓</v>
      </c>
      <c r="AB7" s="15" t="str" cm="1">
        <f t="array" aca="1" ref="AB7" ca="1">IF(AB8=0,"Oct ✓","Oct")</f>
        <v>Oct ✓</v>
      </c>
      <c r="AC7" s="15" t="str" cm="1">
        <f t="array" aca="1" ref="AC7" ca="1">IF(AC8=0,"Nov ✓","Nov")</f>
        <v>Nov ✓</v>
      </c>
      <c r="AD7" s="15" t="str" cm="1">
        <f t="array" aca="1" ref="AD7" ca="1">IF(AD8=0,"Dec ✓","Dec'")</f>
        <v>Dec ✓</v>
      </c>
      <c r="AE7" s="15" t="str" cm="1">
        <f t="array" aca="1" ref="AE7" ca="1">IF(AE8=0,"Total ✓","Total")</f>
        <v>Total ✓</v>
      </c>
      <c r="AF7" s="44"/>
      <c r="AG7" s="15" t="str" cm="1">
        <f t="array" aca="1" ref="AG7" ca="1">IF(AG8=0,"Jan ✓","Jan")</f>
        <v>Jan ✓</v>
      </c>
      <c r="AH7" s="15" t="str" cm="1">
        <f t="array" aca="1" ref="AH7" ca="1">IF(AH8=0,"Feb ✓","Feb")</f>
        <v>Feb ✓</v>
      </c>
      <c r="AI7" s="15" t="str" cm="1">
        <f t="array" aca="1" ref="AI7" ca="1">IF(AI8=0,"Mar ✓","Mar")</f>
        <v>Mar ✓</v>
      </c>
      <c r="AJ7" s="15" t="str" cm="1">
        <f t="array" aca="1" ref="AJ7" ca="1">IF(AJ8=0,"Apr ✓","Apr")</f>
        <v>Apr ✓</v>
      </c>
      <c r="AK7" s="15" t="str" cm="1">
        <f t="array" aca="1" ref="AK7" ca="1">IF(AK8=0,"May ✓","May")</f>
        <v>May ✓</v>
      </c>
      <c r="AL7" s="15" t="str" cm="1">
        <f t="array" aca="1" ref="AL7" ca="1">IF(AL8=0,"Jun ✓","Jun")</f>
        <v>Jun ✓</v>
      </c>
      <c r="AM7" s="15" t="str" cm="1">
        <f t="array" aca="1" ref="AM7" ca="1">IF(AM8=0,"Jul ✓","Jul")</f>
        <v>Jul ✓</v>
      </c>
      <c r="AN7" s="15" t="str" cm="1">
        <f t="array" aca="1" ref="AN7" ca="1">IF(AN8=0,"Aug ✓","Aug")</f>
        <v>Aug ✓</v>
      </c>
      <c r="AO7" s="15" t="str" cm="1">
        <f t="array" aca="1" ref="AO7" ca="1">IF(AO8=0,"Sep ✓","Sep")</f>
        <v>Sep ✓</v>
      </c>
      <c r="AP7" s="15" t="str" cm="1">
        <f t="array" aca="1" ref="AP7" ca="1">IF(AP8=0,"Oct ✓","Oct")</f>
        <v>Oct ✓</v>
      </c>
      <c r="AQ7" s="15" t="str" cm="1">
        <f t="array" aca="1" ref="AQ7" ca="1">IF(AQ8=0,"Nov ✓","Nov")</f>
        <v>Nov ✓</v>
      </c>
      <c r="AR7" s="15" t="str" cm="1">
        <f t="array" aca="1" ref="AR7" ca="1">IF(AR8=0,"Dec ✓","Dec'")</f>
        <v>Dec ✓</v>
      </c>
      <c r="AS7" s="15" t="str" cm="1">
        <f t="array" aca="1" ref="AS7" ca="1">IF(AS8=0,"Total ✓","Total")</f>
        <v>Total ✓</v>
      </c>
      <c r="AT7" s="44"/>
      <c r="AU7" s="15" t="str" cm="1">
        <f t="array" aca="1" ref="AU7" ca="1">IF(AU8=0,"Jan ✓","Jan")</f>
        <v>Jan ✓</v>
      </c>
      <c r="AV7" s="15" t="str" cm="1">
        <f t="array" aca="1" ref="AV7" ca="1">IF(AV8=0,"Feb ✓","Feb")</f>
        <v>Feb ✓</v>
      </c>
      <c r="AW7" s="15" t="str" cm="1">
        <f t="array" aca="1" ref="AW7" ca="1">IF(AW8=0,"Mar ✓","Mar")</f>
        <v>Mar ✓</v>
      </c>
      <c r="AX7" s="15" t="str" cm="1">
        <f t="array" aca="1" ref="AX7" ca="1">IF(AX8=0,"Apr ✓","Apr")</f>
        <v>Apr ✓</v>
      </c>
      <c r="AY7" s="15" t="str" cm="1">
        <f t="array" aca="1" ref="AY7" ca="1">IF(AY8=0,"May ✓","May")</f>
        <v>May ✓</v>
      </c>
      <c r="AZ7" s="15" t="str" cm="1">
        <f t="array" aca="1" ref="AZ7" ca="1">IF(AZ8=0,"Jun ✓","Jun")</f>
        <v>Jun ✓</v>
      </c>
      <c r="BA7" s="15" t="str" cm="1">
        <f t="array" aca="1" ref="BA7" ca="1">IF(BA8=0,"Jul ✓","Jul")</f>
        <v>Jul ✓</v>
      </c>
      <c r="BB7" s="15" t="str" cm="1">
        <f t="array" aca="1" ref="BB7" ca="1">IF(BB8=0,"Aug ✓","Aug")</f>
        <v>Aug ✓</v>
      </c>
      <c r="BC7" s="15" t="str" cm="1">
        <f t="array" aca="1" ref="BC7" ca="1">IF(BC8=0,"Sep ✓","Sep")</f>
        <v>Sep ✓</v>
      </c>
      <c r="BD7" s="15" t="str" cm="1">
        <f t="array" aca="1" ref="BD7" ca="1">IF(BD8=0,"Oct ✓","Oct")</f>
        <v>Oct ✓</v>
      </c>
      <c r="BE7" s="15" t="str" cm="1">
        <f t="array" aca="1" ref="BE7" ca="1">IF(BE8=0,"Nov ✓","Nov")</f>
        <v>Nov ✓</v>
      </c>
      <c r="BF7" s="15" t="str" cm="1">
        <f t="array" aca="1" ref="BF7" ca="1">IF(BF8=0,"Dec ✓","Dec'")</f>
        <v>Dec ✓</v>
      </c>
      <c r="BG7" s="15" t="str" cm="1">
        <f t="array" aca="1" ref="BG7" ca="1">IF(BG8=0,"Total ✓","Total")</f>
        <v>Total ✓</v>
      </c>
      <c r="BH7" s="44"/>
      <c r="BI7" s="15" t="str" cm="1">
        <f t="array" aca="1" ref="BI7" ca="1">IF(BI8=0,"Jan ✓","Jan")</f>
        <v>Jan ✓</v>
      </c>
      <c r="BJ7" s="15" t="str" cm="1">
        <f t="array" aca="1" ref="BJ7" ca="1">IF(BJ8=0,"Feb ✓","Feb")</f>
        <v>Feb ✓</v>
      </c>
      <c r="BK7" s="15" t="str" cm="1">
        <f t="array" aca="1" ref="BK7" ca="1">IF(BK8=0,"Mar ✓","Mar")</f>
        <v>Mar ✓</v>
      </c>
      <c r="BL7" s="15" t="str" cm="1">
        <f t="array" aca="1" ref="BL7" ca="1">IF(BL8=0,"Apr ✓","Apr")</f>
        <v>Apr ✓</v>
      </c>
      <c r="BM7" s="15" t="str" cm="1">
        <f t="array" aca="1" ref="BM7" ca="1">IF(BM8=0,"May ✓","May")</f>
        <v>May ✓</v>
      </c>
      <c r="BN7" s="15" t="str" cm="1">
        <f t="array" aca="1" ref="BN7" ca="1">IF(BN8=0,"Jun ✓","Jun")</f>
        <v>Jun ✓</v>
      </c>
      <c r="BO7" s="15" t="str" cm="1">
        <f t="array" aca="1" ref="BO7" ca="1">IF(BO8=0,"Jul ✓","Jul")</f>
        <v>Jul ✓</v>
      </c>
      <c r="BP7" s="15" t="str" cm="1">
        <f t="array" aca="1" ref="BP7" ca="1">IF(BP8=0,"Aug ✓","Aug")</f>
        <v>Aug ✓</v>
      </c>
      <c r="BQ7" s="15" t="str" cm="1">
        <f t="array" aca="1" ref="BQ7" ca="1">IF(BQ8=0,"Sep ✓","Sep")</f>
        <v>Sep ✓</v>
      </c>
      <c r="BR7" s="15" t="str" cm="1">
        <f t="array" aca="1" ref="BR7" ca="1">IF(BR8=0,"Oct ✓","Oct")</f>
        <v>Oct ✓</v>
      </c>
      <c r="BS7" s="15" t="str" cm="1">
        <f t="array" aca="1" ref="BS7" ca="1">IF(BS8=0,"Nov ✓","Nov")</f>
        <v>Nov ✓</v>
      </c>
      <c r="BT7" s="15" t="str" cm="1">
        <f t="array" aca="1" ref="BT7" ca="1">IF(BT8=0,"Dec ✓","Dec'")</f>
        <v>Dec ✓</v>
      </c>
      <c r="BU7" s="15" t="str" cm="1">
        <f t="array" aca="1" ref="BU7" ca="1">IF(BU8=0,"Total ✓","Total")</f>
        <v>Total ✓</v>
      </c>
      <c r="BV7" s="44"/>
      <c r="BW7" s="15" t="str" cm="1">
        <f t="array" aca="1" ref="BW7" ca="1">IF(BW8=0,"Jan ✓","Jan")</f>
        <v>Jan ✓</v>
      </c>
      <c r="BX7" s="15" t="str" cm="1">
        <f t="array" aca="1" ref="BX7" ca="1">IF(BX8=0,"Feb ✓","Feb")</f>
        <v>Feb ✓</v>
      </c>
      <c r="BY7" s="15" t="str" cm="1">
        <f t="array" aca="1" ref="BY7" ca="1">IF(BY8=0,"Mar ✓","Mar")</f>
        <v>Mar ✓</v>
      </c>
      <c r="BZ7" s="15" t="str" cm="1">
        <f t="array" aca="1" ref="BZ7" ca="1">IF(BZ8=0,"Apr ✓","Apr")</f>
        <v>Apr ✓</v>
      </c>
      <c r="CA7" s="15" t="str" cm="1">
        <f t="array" aca="1" ref="CA7" ca="1">IF(CA8=0,"May ✓","May")</f>
        <v>May ✓</v>
      </c>
      <c r="CB7" s="15" t="str" cm="1">
        <f t="array" aca="1" ref="CB7" ca="1">IF(CB8=0,"Jun ✓","Jun")</f>
        <v>Jun ✓</v>
      </c>
      <c r="CC7" s="15" t="str" cm="1">
        <f t="array" aca="1" ref="CC7" ca="1">IF(CC8=0,"Jul ✓","Jul")</f>
        <v>Jul ✓</v>
      </c>
      <c r="CD7" s="15" t="str" cm="1">
        <f t="array" aca="1" ref="CD7" ca="1">IF(CD8=0,"Aug ✓","Aug")</f>
        <v>Aug ✓</v>
      </c>
      <c r="CE7" s="15" t="str" cm="1">
        <f t="array" aca="1" ref="CE7" ca="1">IF(CE8=0,"Sep ✓","Sep")</f>
        <v>Sep ✓</v>
      </c>
      <c r="CF7" s="15" t="str" cm="1">
        <f t="array" aca="1" ref="CF7" ca="1">IF(CF8=0,"Oct ✓","Oct")</f>
        <v>Oct ✓</v>
      </c>
      <c r="CG7" s="15" t="str" cm="1">
        <f t="array" aca="1" ref="CG7" ca="1">IF(CG8=0,"Nov ✓","Nov")</f>
        <v>Nov ✓</v>
      </c>
      <c r="CH7" s="15" t="str" cm="1">
        <f t="array" aca="1" ref="CH7" ca="1">IF(CH8=0,"Dec ✓","Dec'")</f>
        <v>Dec ✓</v>
      </c>
      <c r="CI7" s="15" t="str" cm="1">
        <f t="array" aca="1" ref="CI7" ca="1">IF(CI8=0,"Total ✓","Total")</f>
        <v>Total ✓</v>
      </c>
      <c r="CJ7" s="44"/>
      <c r="CK7" s="15" t="str" cm="1">
        <f t="array" aca="1" ref="CK7" ca="1">IF(CK8=0,"Jan ✓","Jan")</f>
        <v>Jan ✓</v>
      </c>
      <c r="CL7" s="15" t="str" cm="1">
        <f t="array" aca="1" ref="CL7" ca="1">IF(CL8=0,"Feb ✓","Feb")</f>
        <v>Feb ✓</v>
      </c>
      <c r="CM7" s="15" t="str" cm="1">
        <f t="array" aca="1" ref="CM7" ca="1">IF(CM8=0,"Mar ✓","Mar")</f>
        <v>Mar ✓</v>
      </c>
      <c r="CN7" s="15" t="str" cm="1">
        <f t="array" aca="1" ref="CN7" ca="1">IF(CN8=0,"Apr ✓","Apr")</f>
        <v>Apr ✓</v>
      </c>
      <c r="CO7" s="15" t="str" cm="1">
        <f t="array" aca="1" ref="CO7" ca="1">IF(CO8=0,"May ✓","May")</f>
        <v>May ✓</v>
      </c>
      <c r="CP7" s="15" t="str" cm="1">
        <f t="array" aca="1" ref="CP7" ca="1">IF(CP8=0,"Jun ✓","Jun")</f>
        <v>Jun ✓</v>
      </c>
      <c r="CQ7" s="15" t="str" cm="1">
        <f t="array" aca="1" ref="CQ7" ca="1">IF(CQ8=0,"Jul ✓","Jul")</f>
        <v>Jul ✓</v>
      </c>
      <c r="CR7" s="15" t="str" cm="1">
        <f t="array" aca="1" ref="CR7" ca="1">IF(CR8=0,"Aug ✓","Aug")</f>
        <v>Aug ✓</v>
      </c>
      <c r="CS7" s="15" t="str" cm="1">
        <f t="array" aca="1" ref="CS7" ca="1">IF(CS8=0,"Sep ✓","Sep")</f>
        <v>Sep ✓</v>
      </c>
      <c r="CT7" s="15" t="str" cm="1">
        <f t="array" aca="1" ref="CT7" ca="1">IF(CT8=0,"Oct ✓","Oct")</f>
        <v>Oct ✓</v>
      </c>
      <c r="CU7" s="15" t="str" cm="1">
        <f t="array" aca="1" ref="CU7" ca="1">IF(CU8=0,"Nov ✓","Nov")</f>
        <v>Nov ✓</v>
      </c>
      <c r="CV7" s="15" t="str" cm="1">
        <f t="array" aca="1" ref="CV7" ca="1">IF(CV8=0,"Dec ✓","Dec'")</f>
        <v>Dec ✓</v>
      </c>
      <c r="CW7" s="15" t="str" cm="1">
        <f t="array" aca="1" ref="CW7" ca="1">IF(CW8=0,"Total ✓","Total")</f>
        <v>Total ✓</v>
      </c>
      <c r="CX7" s="44"/>
      <c r="CY7" s="15" t="str" cm="1">
        <f t="array" aca="1" ref="CY7" ca="1">IF(CY8=0,"Jan ✓","Jan")</f>
        <v>Jan ✓</v>
      </c>
      <c r="CZ7" s="15" t="str" cm="1">
        <f t="array" aca="1" ref="CZ7" ca="1">IF(CZ8=0,"Feb ✓","Feb")</f>
        <v>Feb ✓</v>
      </c>
      <c r="DA7" s="15" t="str" cm="1">
        <f t="array" aca="1" ref="DA7" ca="1">IF(DA8=0,"Mar ✓","Mar")</f>
        <v>Mar ✓</v>
      </c>
      <c r="DB7" s="15" t="str" cm="1">
        <f t="array" aca="1" ref="DB7" ca="1">IF(DB8=0,"Apr ✓","Apr")</f>
        <v>Apr ✓</v>
      </c>
      <c r="DC7" s="15" t="str" cm="1">
        <f t="array" aca="1" ref="DC7" ca="1">IF(DC8=0,"May ✓","May")</f>
        <v>May ✓</v>
      </c>
      <c r="DD7" s="15" t="str" cm="1">
        <f t="array" aca="1" ref="DD7" ca="1">IF(DD8=0,"Jun ✓","Jun")</f>
        <v>Jun ✓</v>
      </c>
      <c r="DE7" s="15" t="str" cm="1">
        <f t="array" aca="1" ref="DE7" ca="1">IF(DE8=0,"Jul ✓","Jul")</f>
        <v>Jul ✓</v>
      </c>
      <c r="DF7" s="15" t="str" cm="1">
        <f t="array" aca="1" ref="DF7" ca="1">IF(DF8=0,"Aug ✓","Aug")</f>
        <v>Aug ✓</v>
      </c>
      <c r="DG7" s="15" t="str" cm="1">
        <f t="array" aca="1" ref="DG7" ca="1">IF(DG8=0,"Sep ✓","Sep")</f>
        <v>Sep ✓</v>
      </c>
      <c r="DH7" s="15" t="str" cm="1">
        <f t="array" aca="1" ref="DH7" ca="1">IF(DH8=0,"Oct ✓","Oct")</f>
        <v>Oct ✓</v>
      </c>
      <c r="DI7" s="15" t="str" cm="1">
        <f t="array" aca="1" ref="DI7" ca="1">IF(DI8=0,"Nov ✓","Nov")</f>
        <v>Nov ✓</v>
      </c>
      <c r="DJ7" s="15" t="str" cm="1">
        <f t="array" aca="1" ref="DJ7" ca="1">IF(DJ8=0,"Dec ✓","Dec'")</f>
        <v>Dec ✓</v>
      </c>
      <c r="DK7" s="15" t="str" cm="1">
        <f t="array" aca="1" ref="DK7" ca="1">IF(DK8=0,"Total ✓","Total")</f>
        <v>Total ✓</v>
      </c>
      <c r="DL7" s="44"/>
      <c r="DM7" s="15" t="str" cm="1">
        <f t="array" aca="1" ref="DM7" ca="1">IF(DM8=0,"Jan ✓","Jan")</f>
        <v>Jan ✓</v>
      </c>
      <c r="DN7" s="15" t="str" cm="1">
        <f t="array" aca="1" ref="DN7" ca="1">IF(DN8=0,"Feb ✓","Feb")</f>
        <v>Feb ✓</v>
      </c>
      <c r="DO7" s="15" t="str" cm="1">
        <f t="array" aca="1" ref="DO7" ca="1">IF(DO8=0,"Mar ✓","Mar")</f>
        <v>Mar ✓</v>
      </c>
      <c r="DP7" s="15" t="str" cm="1">
        <f t="array" aca="1" ref="DP7" ca="1">IF(DP8=0,"Apr ✓","Apr")</f>
        <v>Apr ✓</v>
      </c>
      <c r="DQ7" s="15" t="str" cm="1">
        <f t="array" aca="1" ref="DQ7" ca="1">IF(DQ8=0,"May ✓","May")</f>
        <v>May ✓</v>
      </c>
      <c r="DR7" s="15" t="str" cm="1">
        <f t="array" aca="1" ref="DR7" ca="1">IF(DR8=0,"Jun ✓","Jun")</f>
        <v>Jun ✓</v>
      </c>
      <c r="DS7" s="15" t="str" cm="1">
        <f t="array" aca="1" ref="DS7" ca="1">IF(DS8=0,"Jul ✓","Jul")</f>
        <v>Jul ✓</v>
      </c>
      <c r="DT7" s="15" t="str" cm="1">
        <f t="array" aca="1" ref="DT7" ca="1">IF(DT8=0,"Aug ✓","Aug")</f>
        <v>Aug ✓</v>
      </c>
      <c r="DU7" s="15" t="str" cm="1">
        <f t="array" aca="1" ref="DU7" ca="1">IF(DU8=0,"Sep ✓","Sep")</f>
        <v>Sep ✓</v>
      </c>
      <c r="DV7" s="15" t="str" cm="1">
        <f t="array" aca="1" ref="DV7" ca="1">IF(DV8=0,"Oct ✓","Oct")</f>
        <v>Oct ✓</v>
      </c>
      <c r="DW7" s="15" t="str" cm="1">
        <f t="array" aca="1" ref="DW7" ca="1">IF(DW8=0,"Nov ✓","Nov")</f>
        <v>Nov ✓</v>
      </c>
      <c r="DX7" s="15" t="str" cm="1">
        <f t="array" aca="1" ref="DX7" ca="1">IF(DX8=0,"Dec ✓","Dec'")</f>
        <v>Dec ✓</v>
      </c>
      <c r="DY7" s="15" t="str" cm="1">
        <f t="array" aca="1" ref="DY7" ca="1">IF(DY8=0,"Total ✓","Total")</f>
        <v>Total ✓</v>
      </c>
      <c r="DZ7" s="44"/>
      <c r="EA7" s="15" t="str" cm="1">
        <f t="array" aca="1" ref="EA7" ca="1">IF(EA8=0,"Jan ✓","Jan")</f>
        <v>Jan ✓</v>
      </c>
      <c r="EB7" s="15" t="str" cm="1">
        <f t="array" aca="1" ref="EB7" ca="1">IF(EB8=0,"Feb ✓","Feb")</f>
        <v>Feb ✓</v>
      </c>
      <c r="EC7" s="15" t="str" cm="1">
        <f t="array" aca="1" ref="EC7" ca="1">IF(EC8=0,"Mar ✓","Mar")</f>
        <v>Mar ✓</v>
      </c>
      <c r="ED7" s="15" t="str" cm="1">
        <f t="array" aca="1" ref="ED7" ca="1">IF(ED8=0,"Apr ✓","Apr")</f>
        <v>Apr ✓</v>
      </c>
      <c r="EE7" s="15" t="str" cm="1">
        <f t="array" aca="1" ref="EE7" ca="1">IF(EE8=0,"May ✓","May")</f>
        <v>May ✓</v>
      </c>
      <c r="EF7" s="15" t="str" cm="1">
        <f t="array" aca="1" ref="EF7" ca="1">IF(EF8=0,"Jun ✓","Jun")</f>
        <v>Jun ✓</v>
      </c>
      <c r="EG7" s="15" t="str" cm="1">
        <f t="array" aca="1" ref="EG7" ca="1">IF(EG8=0,"Jul ✓","Jul")</f>
        <v>Jul ✓</v>
      </c>
      <c r="EH7" s="15" t="str" cm="1">
        <f t="array" aca="1" ref="EH7" ca="1">IF(EH8=0,"Aug ✓","Aug")</f>
        <v>Aug ✓</v>
      </c>
      <c r="EI7" s="15" t="str" cm="1">
        <f t="array" aca="1" ref="EI7" ca="1">IF(EI8=0,"Sep ✓","Sep")</f>
        <v>Sep ✓</v>
      </c>
      <c r="EJ7" s="15" t="str" cm="1">
        <f t="array" aca="1" ref="EJ7" ca="1">IF(EJ8=0,"Oct ✓","Oct")</f>
        <v>Oct ✓</v>
      </c>
      <c r="EK7" s="15" t="str" cm="1">
        <f t="array" aca="1" ref="EK7" ca="1">IF(EK8=0,"Nov ✓","Nov")</f>
        <v>Nov ✓</v>
      </c>
      <c r="EL7" s="15" t="str" cm="1">
        <f t="array" aca="1" ref="EL7" ca="1">IF(EL8=0,"Dec ✓","Dec'")</f>
        <v>Dec ✓</v>
      </c>
      <c r="EM7" s="15" t="str" cm="1">
        <f t="array" aca="1" ref="EM7" ca="1">IF(EM8=0,"Total ✓","Total")</f>
        <v>Total ✓</v>
      </c>
      <c r="EN7" s="44"/>
      <c r="EO7" s="15" t="str" cm="1">
        <f t="array" aca="1" ref="EO7" ca="1">IF(EO8=0,"Jan ✓","Jan")</f>
        <v>Jan ✓</v>
      </c>
      <c r="EP7" s="15" t="str" cm="1">
        <f t="array" aca="1" ref="EP7" ca="1">IF(EP8=0,"Feb ✓","Feb")</f>
        <v>Feb ✓</v>
      </c>
      <c r="EQ7" s="15" t="str" cm="1">
        <f t="array" aca="1" ref="EQ7" ca="1">IF(EQ8=0,"Mar ✓","Mar")</f>
        <v>Mar ✓</v>
      </c>
      <c r="ER7" s="15" t="str" cm="1">
        <f t="array" aca="1" ref="ER7" ca="1">IF(ER8=0,"Apr ✓","Apr")</f>
        <v>Apr ✓</v>
      </c>
      <c r="ES7" s="15" t="str" cm="1">
        <f t="array" aca="1" ref="ES7" ca="1">IF(ES8=0,"May ✓","May")</f>
        <v>May ✓</v>
      </c>
      <c r="ET7" s="15" t="str" cm="1">
        <f t="array" aca="1" ref="ET7" ca="1">IF(ET8=0,"Jun ✓","Jun")</f>
        <v>Jun ✓</v>
      </c>
      <c r="EU7" s="15" t="str" cm="1">
        <f t="array" aca="1" ref="EU7" ca="1">IF(EU8=0,"Jul ✓","Jul")</f>
        <v>Jul ✓</v>
      </c>
      <c r="EV7" s="15" t="str" cm="1">
        <f t="array" aca="1" ref="EV7" ca="1">IF(EV8=0,"Aug ✓","Aug")</f>
        <v>Aug ✓</v>
      </c>
      <c r="EW7" s="15" t="str" cm="1">
        <f t="array" aca="1" ref="EW7" ca="1">IF(EW8=0,"Sep ✓","Sep")</f>
        <v>Sep ✓</v>
      </c>
      <c r="EX7" s="15" t="str" cm="1">
        <f t="array" aca="1" ref="EX7" ca="1">IF(EX8=0,"Oct ✓","Oct")</f>
        <v>Oct ✓</v>
      </c>
      <c r="EY7" s="15" t="str" cm="1">
        <f t="array" aca="1" ref="EY7" ca="1">IF(EY8=0,"Nov ✓","Nov")</f>
        <v>Nov ✓</v>
      </c>
      <c r="EZ7" s="15" t="str" cm="1">
        <f t="array" aca="1" ref="EZ7" ca="1">IF(EZ8=0,"Dec ✓","Dec'")</f>
        <v>Dec ✓</v>
      </c>
      <c r="FA7" s="15" t="str" cm="1">
        <f t="array" aca="1" ref="FA7" ca="1">IF(FA8=0,"Total ✓","Total")</f>
        <v>Total ✓</v>
      </c>
      <c r="FB7" s="44"/>
    </row>
    <row r="8" spans="1:158" ht="15.25" customHeight="1" x14ac:dyDescent="0.2">
      <c r="A8" s="10"/>
      <c r="B8" s="11"/>
      <c r="C8" s="16" t="s">
        <v>5</v>
      </c>
      <c r="D8" s="14"/>
      <c r="E8" s="17">
        <f ca="1">E27-(E46+E65)</f>
        <v>-6150</v>
      </c>
      <c r="F8" s="17">
        <f t="shared" ref="F8:Q8" ca="1" si="9">F27-(F46+F65)</f>
        <v>6511</v>
      </c>
      <c r="G8" s="17">
        <f t="shared" ca="1" si="9"/>
        <v>-5998</v>
      </c>
      <c r="H8" s="17">
        <f t="shared" ca="1" si="9"/>
        <v>0</v>
      </c>
      <c r="I8" s="17">
        <f t="shared" ca="1" si="9"/>
        <v>-15531</v>
      </c>
      <c r="J8" s="17">
        <f t="shared" ca="1" si="9"/>
        <v>-513</v>
      </c>
      <c r="K8" s="17">
        <f t="shared" ca="1" si="9"/>
        <v>0</v>
      </c>
      <c r="L8" s="17">
        <f t="shared" ca="1" si="9"/>
        <v>0</v>
      </c>
      <c r="M8" s="17">
        <f t="shared" ca="1" si="9"/>
        <v>0</v>
      </c>
      <c r="N8" s="17">
        <f t="shared" ca="1" si="9"/>
        <v>0</v>
      </c>
      <c r="O8" s="17">
        <f t="shared" ca="1" si="9"/>
        <v>0</v>
      </c>
      <c r="P8" s="17">
        <f t="shared" ca="1" si="9"/>
        <v>0</v>
      </c>
      <c r="Q8" s="17">
        <f t="shared" ca="1" si="9"/>
        <v>-21681</v>
      </c>
      <c r="R8" s="44"/>
      <c r="S8" s="17">
        <f ca="1">S27-(S46+S65)</f>
        <v>0</v>
      </c>
      <c r="T8" s="17">
        <f t="shared" ref="T8:AE8" ca="1" si="10">T27-(T46+T65)</f>
        <v>0</v>
      </c>
      <c r="U8" s="17">
        <f t="shared" ca="1" si="10"/>
        <v>0</v>
      </c>
      <c r="V8" s="17">
        <f t="shared" ca="1" si="10"/>
        <v>0</v>
      </c>
      <c r="W8" s="17">
        <f t="shared" ca="1" si="10"/>
        <v>0</v>
      </c>
      <c r="X8" s="17">
        <f t="shared" ca="1" si="10"/>
        <v>0</v>
      </c>
      <c r="Y8" s="17">
        <f t="shared" ca="1" si="10"/>
        <v>0</v>
      </c>
      <c r="Z8" s="17">
        <f t="shared" ca="1" si="10"/>
        <v>0</v>
      </c>
      <c r="AA8" s="17">
        <f t="shared" ca="1" si="10"/>
        <v>0</v>
      </c>
      <c r="AB8" s="17">
        <f t="shared" ca="1" si="10"/>
        <v>0</v>
      </c>
      <c r="AC8" s="17">
        <f t="shared" ca="1" si="10"/>
        <v>0</v>
      </c>
      <c r="AD8" s="17">
        <f t="shared" ca="1" si="10"/>
        <v>0</v>
      </c>
      <c r="AE8" s="17">
        <f t="shared" ca="1" si="10"/>
        <v>0</v>
      </c>
      <c r="AF8" s="44"/>
      <c r="AG8" s="17">
        <f t="shared" ref="AG8:AS8" ca="1" si="11">AG27-(AG46+AG65)</f>
        <v>0</v>
      </c>
      <c r="AH8" s="17">
        <f t="shared" ca="1" si="11"/>
        <v>0</v>
      </c>
      <c r="AI8" s="17">
        <f t="shared" ca="1" si="11"/>
        <v>0</v>
      </c>
      <c r="AJ8" s="17">
        <f t="shared" ca="1" si="11"/>
        <v>0</v>
      </c>
      <c r="AK8" s="17">
        <f t="shared" ca="1" si="11"/>
        <v>0</v>
      </c>
      <c r="AL8" s="17">
        <f t="shared" ca="1" si="11"/>
        <v>0</v>
      </c>
      <c r="AM8" s="17">
        <f t="shared" ca="1" si="11"/>
        <v>0</v>
      </c>
      <c r="AN8" s="17">
        <f t="shared" ca="1" si="11"/>
        <v>0</v>
      </c>
      <c r="AO8" s="17">
        <f t="shared" ca="1" si="11"/>
        <v>0</v>
      </c>
      <c r="AP8" s="17">
        <f t="shared" ca="1" si="11"/>
        <v>0</v>
      </c>
      <c r="AQ8" s="17">
        <f t="shared" ca="1" si="11"/>
        <v>0</v>
      </c>
      <c r="AR8" s="17">
        <f t="shared" ca="1" si="11"/>
        <v>0</v>
      </c>
      <c r="AS8" s="17">
        <f t="shared" ca="1" si="11"/>
        <v>0</v>
      </c>
      <c r="AT8" s="44"/>
      <c r="AU8" s="17">
        <f t="shared" ref="AU8:BG8" ca="1" si="12">AU27-(AU46+AU65)</f>
        <v>0</v>
      </c>
      <c r="AV8" s="17">
        <f t="shared" ca="1" si="12"/>
        <v>0</v>
      </c>
      <c r="AW8" s="17">
        <f t="shared" ca="1" si="12"/>
        <v>0</v>
      </c>
      <c r="AX8" s="17">
        <f t="shared" ca="1" si="12"/>
        <v>0</v>
      </c>
      <c r="AY8" s="17">
        <f t="shared" ca="1" si="12"/>
        <v>0</v>
      </c>
      <c r="AZ8" s="17">
        <f t="shared" ca="1" si="12"/>
        <v>0</v>
      </c>
      <c r="BA8" s="17">
        <f t="shared" ca="1" si="12"/>
        <v>0</v>
      </c>
      <c r="BB8" s="17">
        <f t="shared" ca="1" si="12"/>
        <v>0</v>
      </c>
      <c r="BC8" s="17">
        <f t="shared" ca="1" si="12"/>
        <v>0</v>
      </c>
      <c r="BD8" s="17">
        <f t="shared" ca="1" si="12"/>
        <v>0</v>
      </c>
      <c r="BE8" s="17">
        <f t="shared" ca="1" si="12"/>
        <v>0</v>
      </c>
      <c r="BF8" s="17">
        <f t="shared" ca="1" si="12"/>
        <v>0</v>
      </c>
      <c r="BG8" s="17">
        <f t="shared" ca="1" si="12"/>
        <v>0</v>
      </c>
      <c r="BH8" s="44"/>
      <c r="BI8" s="17">
        <f t="shared" ref="BI8:BU8" ca="1" si="13">BI27-(BI46+BI65)</f>
        <v>0</v>
      </c>
      <c r="BJ8" s="17">
        <f t="shared" ca="1" si="13"/>
        <v>0</v>
      </c>
      <c r="BK8" s="17">
        <f t="shared" ca="1" si="13"/>
        <v>0</v>
      </c>
      <c r="BL8" s="17">
        <f t="shared" ca="1" si="13"/>
        <v>0</v>
      </c>
      <c r="BM8" s="17">
        <f t="shared" ca="1" si="13"/>
        <v>0</v>
      </c>
      <c r="BN8" s="17">
        <f t="shared" ca="1" si="13"/>
        <v>0</v>
      </c>
      <c r="BO8" s="17">
        <f t="shared" ca="1" si="13"/>
        <v>0</v>
      </c>
      <c r="BP8" s="17">
        <f t="shared" ca="1" si="13"/>
        <v>0</v>
      </c>
      <c r="BQ8" s="17">
        <f t="shared" ca="1" si="13"/>
        <v>0</v>
      </c>
      <c r="BR8" s="17">
        <f t="shared" ca="1" si="13"/>
        <v>0</v>
      </c>
      <c r="BS8" s="17">
        <f t="shared" ca="1" si="13"/>
        <v>0</v>
      </c>
      <c r="BT8" s="17">
        <f t="shared" ca="1" si="13"/>
        <v>0</v>
      </c>
      <c r="BU8" s="17">
        <f t="shared" ca="1" si="13"/>
        <v>0</v>
      </c>
      <c r="BV8" s="44"/>
      <c r="BW8" s="17">
        <f t="shared" ref="BW8:CI8" ca="1" si="14">BW27-(BW46+BW65)</f>
        <v>0</v>
      </c>
      <c r="BX8" s="17">
        <f t="shared" ca="1" si="14"/>
        <v>0</v>
      </c>
      <c r="BY8" s="17">
        <f t="shared" ca="1" si="14"/>
        <v>0</v>
      </c>
      <c r="BZ8" s="17">
        <f t="shared" ca="1" si="14"/>
        <v>0</v>
      </c>
      <c r="CA8" s="17">
        <f t="shared" ca="1" si="14"/>
        <v>0</v>
      </c>
      <c r="CB8" s="17">
        <f t="shared" ca="1" si="14"/>
        <v>0</v>
      </c>
      <c r="CC8" s="17">
        <f t="shared" ca="1" si="14"/>
        <v>0</v>
      </c>
      <c r="CD8" s="17">
        <f t="shared" ca="1" si="14"/>
        <v>0</v>
      </c>
      <c r="CE8" s="17">
        <f t="shared" ca="1" si="14"/>
        <v>0</v>
      </c>
      <c r="CF8" s="17">
        <f t="shared" ca="1" si="14"/>
        <v>0</v>
      </c>
      <c r="CG8" s="17">
        <f t="shared" ca="1" si="14"/>
        <v>0</v>
      </c>
      <c r="CH8" s="17">
        <f t="shared" ca="1" si="14"/>
        <v>0</v>
      </c>
      <c r="CI8" s="17">
        <f t="shared" ca="1" si="14"/>
        <v>0</v>
      </c>
      <c r="CJ8" s="44"/>
      <c r="CK8" s="17">
        <f t="shared" ref="CK8:CW8" ca="1" si="15">CK27-(CK46+CK65)</f>
        <v>0</v>
      </c>
      <c r="CL8" s="17">
        <f t="shared" ca="1" si="15"/>
        <v>0</v>
      </c>
      <c r="CM8" s="17">
        <f t="shared" ca="1" si="15"/>
        <v>0</v>
      </c>
      <c r="CN8" s="17">
        <f t="shared" ca="1" si="15"/>
        <v>0</v>
      </c>
      <c r="CO8" s="17">
        <f t="shared" ca="1" si="15"/>
        <v>0</v>
      </c>
      <c r="CP8" s="17">
        <f t="shared" ca="1" si="15"/>
        <v>0</v>
      </c>
      <c r="CQ8" s="17">
        <f t="shared" ca="1" si="15"/>
        <v>0</v>
      </c>
      <c r="CR8" s="17">
        <f t="shared" ca="1" si="15"/>
        <v>0</v>
      </c>
      <c r="CS8" s="17">
        <f t="shared" ca="1" si="15"/>
        <v>0</v>
      </c>
      <c r="CT8" s="17">
        <f t="shared" ca="1" si="15"/>
        <v>0</v>
      </c>
      <c r="CU8" s="17">
        <f t="shared" ca="1" si="15"/>
        <v>0</v>
      </c>
      <c r="CV8" s="17">
        <f t="shared" ca="1" si="15"/>
        <v>0</v>
      </c>
      <c r="CW8" s="17">
        <f t="shared" ca="1" si="15"/>
        <v>0</v>
      </c>
      <c r="CX8" s="44"/>
      <c r="CY8" s="17">
        <f t="shared" ref="CY8:DK8" ca="1" si="16">CY27-(CY46+CY65)</f>
        <v>0</v>
      </c>
      <c r="CZ8" s="17">
        <f t="shared" ca="1" si="16"/>
        <v>0</v>
      </c>
      <c r="DA8" s="17">
        <f t="shared" ca="1" si="16"/>
        <v>0</v>
      </c>
      <c r="DB8" s="17">
        <f t="shared" ca="1" si="16"/>
        <v>0</v>
      </c>
      <c r="DC8" s="17">
        <f t="shared" ca="1" si="16"/>
        <v>0</v>
      </c>
      <c r="DD8" s="17">
        <f t="shared" ca="1" si="16"/>
        <v>0</v>
      </c>
      <c r="DE8" s="17">
        <f t="shared" ca="1" si="16"/>
        <v>0</v>
      </c>
      <c r="DF8" s="17">
        <f t="shared" ca="1" si="16"/>
        <v>0</v>
      </c>
      <c r="DG8" s="17">
        <f t="shared" ca="1" si="16"/>
        <v>0</v>
      </c>
      <c r="DH8" s="17">
        <f t="shared" ca="1" si="16"/>
        <v>0</v>
      </c>
      <c r="DI8" s="17">
        <f t="shared" ca="1" si="16"/>
        <v>0</v>
      </c>
      <c r="DJ8" s="17">
        <f t="shared" ca="1" si="16"/>
        <v>0</v>
      </c>
      <c r="DK8" s="17">
        <f t="shared" ca="1" si="16"/>
        <v>0</v>
      </c>
      <c r="DL8" s="44"/>
      <c r="DM8" s="17">
        <f t="shared" ref="DM8:DY8" ca="1" si="17">DM27-(DM46+DM65)</f>
        <v>0</v>
      </c>
      <c r="DN8" s="17">
        <f t="shared" ca="1" si="17"/>
        <v>0</v>
      </c>
      <c r="DO8" s="17">
        <f t="shared" ca="1" si="17"/>
        <v>0</v>
      </c>
      <c r="DP8" s="17">
        <f t="shared" ca="1" si="17"/>
        <v>0</v>
      </c>
      <c r="DQ8" s="17">
        <f t="shared" ca="1" si="17"/>
        <v>0</v>
      </c>
      <c r="DR8" s="17">
        <f t="shared" ca="1" si="17"/>
        <v>0</v>
      </c>
      <c r="DS8" s="17">
        <f t="shared" ca="1" si="17"/>
        <v>0</v>
      </c>
      <c r="DT8" s="17">
        <f t="shared" ca="1" si="17"/>
        <v>0</v>
      </c>
      <c r="DU8" s="17">
        <f t="shared" ca="1" si="17"/>
        <v>0</v>
      </c>
      <c r="DV8" s="17">
        <f t="shared" ca="1" si="17"/>
        <v>0</v>
      </c>
      <c r="DW8" s="17">
        <f t="shared" ca="1" si="17"/>
        <v>0</v>
      </c>
      <c r="DX8" s="17">
        <f t="shared" ca="1" si="17"/>
        <v>0</v>
      </c>
      <c r="DY8" s="17">
        <f t="shared" ca="1" si="17"/>
        <v>0</v>
      </c>
      <c r="DZ8" s="44"/>
      <c r="EA8" s="17">
        <f t="shared" ref="EA8:EM8" ca="1" si="18">EA27-(EA46+EA65)</f>
        <v>0</v>
      </c>
      <c r="EB8" s="17">
        <f t="shared" ca="1" si="18"/>
        <v>0</v>
      </c>
      <c r="EC8" s="17">
        <f t="shared" ca="1" si="18"/>
        <v>0</v>
      </c>
      <c r="ED8" s="17">
        <f t="shared" ca="1" si="18"/>
        <v>0</v>
      </c>
      <c r="EE8" s="17">
        <f t="shared" ca="1" si="18"/>
        <v>0</v>
      </c>
      <c r="EF8" s="17">
        <f t="shared" ca="1" si="18"/>
        <v>0</v>
      </c>
      <c r="EG8" s="17">
        <f t="shared" ca="1" si="18"/>
        <v>0</v>
      </c>
      <c r="EH8" s="17">
        <f t="shared" ca="1" si="18"/>
        <v>0</v>
      </c>
      <c r="EI8" s="17">
        <f t="shared" ca="1" si="18"/>
        <v>0</v>
      </c>
      <c r="EJ8" s="17">
        <f t="shared" ca="1" si="18"/>
        <v>0</v>
      </c>
      <c r="EK8" s="17">
        <f t="shared" ca="1" si="18"/>
        <v>0</v>
      </c>
      <c r="EL8" s="17">
        <f t="shared" ca="1" si="18"/>
        <v>0</v>
      </c>
      <c r="EM8" s="17">
        <f t="shared" ca="1" si="18"/>
        <v>0</v>
      </c>
      <c r="EN8" s="44"/>
      <c r="EO8" s="17">
        <f t="shared" ref="EO8:FA8" ca="1" si="19">EO27-(EO46+EO65)</f>
        <v>0</v>
      </c>
      <c r="EP8" s="17">
        <f t="shared" ca="1" si="19"/>
        <v>0</v>
      </c>
      <c r="EQ8" s="17">
        <f t="shared" ca="1" si="19"/>
        <v>0</v>
      </c>
      <c r="ER8" s="17">
        <f t="shared" ca="1" si="19"/>
        <v>0</v>
      </c>
      <c r="ES8" s="17">
        <f t="shared" ca="1" si="19"/>
        <v>0</v>
      </c>
      <c r="ET8" s="17">
        <f t="shared" ca="1" si="19"/>
        <v>0</v>
      </c>
      <c r="EU8" s="17">
        <f t="shared" ca="1" si="19"/>
        <v>0</v>
      </c>
      <c r="EV8" s="17">
        <f t="shared" ca="1" si="19"/>
        <v>0</v>
      </c>
      <c r="EW8" s="17">
        <f t="shared" ca="1" si="19"/>
        <v>0</v>
      </c>
      <c r="EX8" s="17">
        <f t="shared" ca="1" si="19"/>
        <v>0</v>
      </c>
      <c r="EY8" s="17">
        <f t="shared" ca="1" si="19"/>
        <v>0</v>
      </c>
      <c r="EZ8" s="17">
        <f t="shared" ca="1" si="19"/>
        <v>0</v>
      </c>
      <c r="FA8" s="17">
        <f t="shared" ca="1" si="19"/>
        <v>0</v>
      </c>
      <c r="FB8" s="44"/>
    </row>
    <row r="9" spans="1:158" ht="15.25" customHeight="1" x14ac:dyDescent="0.2">
      <c r="A9" s="10"/>
      <c r="B9" s="11"/>
      <c r="C9" s="12"/>
      <c r="D9" s="11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1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1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1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1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1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1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1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1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1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1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1"/>
    </row>
    <row r="10" spans="1:158" ht="15.25" customHeight="1" x14ac:dyDescent="0.2">
      <c r="A10" s="10"/>
      <c r="B10" s="13"/>
      <c r="C10" s="25" t="s">
        <v>6</v>
      </c>
      <c r="D10" s="19"/>
      <c r="E10" s="20" cm="1">
        <f t="array" ref="E10">DATE(E$6,1,1)</f>
        <v>44562</v>
      </c>
      <c r="F10" s="20" cm="1">
        <f t="array" ref="F10">DATE(E$6,2,1)</f>
        <v>44593</v>
      </c>
      <c r="G10" s="20" cm="1">
        <f t="array" ref="G10">DATE(E$6,3,1)</f>
        <v>44621</v>
      </c>
      <c r="H10" s="20" cm="1">
        <f t="array" ref="H10">DATE(E$6,4,1)</f>
        <v>44652</v>
      </c>
      <c r="I10" s="20" cm="1">
        <f t="array" ref="I10">DATE(E$6,5,1)</f>
        <v>44682</v>
      </c>
      <c r="J10" s="20" cm="1">
        <f t="array" ref="J10">DATE(E$6,6,1)</f>
        <v>44713</v>
      </c>
      <c r="K10" s="20" cm="1">
        <f t="array" ref="K10">DATE(E$6,7,1)</f>
        <v>44743</v>
      </c>
      <c r="L10" s="20" cm="1">
        <f t="array" ref="L10">DATE(E$6,8,1)</f>
        <v>44774</v>
      </c>
      <c r="M10" s="20" cm="1">
        <f t="array" ref="M10">DATE(E$6,9,1)</f>
        <v>44805</v>
      </c>
      <c r="N10" s="20" cm="1">
        <f t="array" ref="N10">DATE(E$6,10,1)</f>
        <v>44835</v>
      </c>
      <c r="O10" s="20" cm="1">
        <f t="array" ref="O10">DATE(E$6,11,1)</f>
        <v>44866</v>
      </c>
      <c r="P10" s="20" cm="1">
        <f t="array" ref="P10">DATE(E$6,12,1)</f>
        <v>44896</v>
      </c>
      <c r="Q10" s="21" cm="1">
        <f t="array" ref="Q10">E$6</f>
        <v>2022</v>
      </c>
      <c r="R10" s="11"/>
      <c r="S10" s="20" cm="1">
        <f t="array" ref="S10">DATE(S$6,1,1)</f>
        <v>44927</v>
      </c>
      <c r="T10" s="20" cm="1">
        <f t="array" ref="T10">DATE(S$6,2,1)</f>
        <v>44958</v>
      </c>
      <c r="U10" s="20" cm="1">
        <f t="array" ref="U10">DATE(S$6,3,1)</f>
        <v>44986</v>
      </c>
      <c r="V10" s="20" cm="1">
        <f t="array" ref="V10">DATE(S$6,4,1)</f>
        <v>45017</v>
      </c>
      <c r="W10" s="20" cm="1">
        <f t="array" ref="W10">DATE(S$6,5,1)</f>
        <v>45047</v>
      </c>
      <c r="X10" s="20" cm="1">
        <f t="array" ref="X10">DATE(S$6,6,1)</f>
        <v>45078</v>
      </c>
      <c r="Y10" s="20" cm="1">
        <f t="array" ref="Y10">DATE(S$6,7,1)</f>
        <v>45108</v>
      </c>
      <c r="Z10" s="20" cm="1">
        <f t="array" ref="Z10">DATE(S$6,8,1)</f>
        <v>45139</v>
      </c>
      <c r="AA10" s="20" cm="1">
        <f t="array" ref="AA10">DATE(S$6,9,1)</f>
        <v>45170</v>
      </c>
      <c r="AB10" s="20" cm="1">
        <f t="array" ref="AB10">DATE(S$6,10,1)</f>
        <v>45200</v>
      </c>
      <c r="AC10" s="20" cm="1">
        <f t="array" ref="AC10">DATE(S$6,11,1)</f>
        <v>45231</v>
      </c>
      <c r="AD10" s="20" cm="1">
        <f t="array" ref="AD10">DATE(S$6,12,1)</f>
        <v>45261</v>
      </c>
      <c r="AE10" s="21" cm="1">
        <f t="array" ref="AE10">S$6</f>
        <v>2023</v>
      </c>
      <c r="AF10" s="11"/>
      <c r="AG10" s="20" cm="1">
        <f t="array" ref="AG10">DATE(AG$6,1,1)</f>
        <v>45292</v>
      </c>
      <c r="AH10" s="20" cm="1">
        <f t="array" ref="AH10">DATE(AG$6,2,1)</f>
        <v>45323</v>
      </c>
      <c r="AI10" s="20" cm="1">
        <f t="array" ref="AI10">DATE(AG$6,3,1)</f>
        <v>45352</v>
      </c>
      <c r="AJ10" s="20" cm="1">
        <f t="array" ref="AJ10">DATE(AG$6,4,1)</f>
        <v>45383</v>
      </c>
      <c r="AK10" s="20" cm="1">
        <f t="array" ref="AK10">DATE(AG$6,5,1)</f>
        <v>45413</v>
      </c>
      <c r="AL10" s="20" cm="1">
        <f t="array" ref="AL10">DATE(AG$6,6,1)</f>
        <v>45444</v>
      </c>
      <c r="AM10" s="20" cm="1">
        <f t="array" ref="AM10">DATE(AG$6,7,1)</f>
        <v>45474</v>
      </c>
      <c r="AN10" s="20" cm="1">
        <f t="array" ref="AN10">DATE(AG$6,8,1)</f>
        <v>45505</v>
      </c>
      <c r="AO10" s="20" cm="1">
        <f t="array" ref="AO10">DATE(AG$6,9,1)</f>
        <v>45536</v>
      </c>
      <c r="AP10" s="20" cm="1">
        <f t="array" ref="AP10">DATE(AG$6,10,1)</f>
        <v>45566</v>
      </c>
      <c r="AQ10" s="20" cm="1">
        <f t="array" ref="AQ10">DATE(AG$6,11,1)</f>
        <v>45597</v>
      </c>
      <c r="AR10" s="20" cm="1">
        <f t="array" ref="AR10">DATE(AG$6,12,1)</f>
        <v>45627</v>
      </c>
      <c r="AS10" s="21" cm="1">
        <f t="array" ref="AS10">AG$6</f>
        <v>2024</v>
      </c>
      <c r="AT10" s="11"/>
      <c r="AU10" s="20" cm="1">
        <f t="array" ref="AU10">DATE(AU$6,1,1)</f>
        <v>45658</v>
      </c>
      <c r="AV10" s="20" cm="1">
        <f t="array" ref="AV10">DATE(AU$6,2,1)</f>
        <v>45689</v>
      </c>
      <c r="AW10" s="20" cm="1">
        <f t="array" ref="AW10">DATE(AU$6,3,1)</f>
        <v>45717</v>
      </c>
      <c r="AX10" s="20" cm="1">
        <f t="array" ref="AX10">DATE(AU$6,4,1)</f>
        <v>45748</v>
      </c>
      <c r="AY10" s="20" cm="1">
        <f t="array" ref="AY10">DATE(AU$6,5,1)</f>
        <v>45778</v>
      </c>
      <c r="AZ10" s="20" cm="1">
        <f t="array" ref="AZ10">DATE(AU$6,6,1)</f>
        <v>45809</v>
      </c>
      <c r="BA10" s="20" cm="1">
        <f t="array" ref="BA10">DATE(AU$6,7,1)</f>
        <v>45839</v>
      </c>
      <c r="BB10" s="20" cm="1">
        <f t="array" ref="BB10">DATE(AU$6,8,1)</f>
        <v>45870</v>
      </c>
      <c r="BC10" s="20" cm="1">
        <f t="array" ref="BC10">DATE(AU$6,9,1)</f>
        <v>45901</v>
      </c>
      <c r="BD10" s="20" cm="1">
        <f t="array" ref="BD10">DATE(AU$6,10,1)</f>
        <v>45931</v>
      </c>
      <c r="BE10" s="20" cm="1">
        <f t="array" ref="BE10">DATE(AU$6,11,1)</f>
        <v>45962</v>
      </c>
      <c r="BF10" s="20" cm="1">
        <f t="array" ref="BF10">DATE(AU$6,12,1)</f>
        <v>45992</v>
      </c>
      <c r="BG10" s="21" cm="1">
        <f t="array" ref="BG10">AU$6</f>
        <v>2025</v>
      </c>
      <c r="BH10" s="11"/>
      <c r="BI10" s="20" cm="1">
        <f t="array" ref="BI10">DATE(BI$6,1,1)</f>
        <v>46023</v>
      </c>
      <c r="BJ10" s="20" cm="1">
        <f t="array" ref="BJ10">DATE(BI$6,2,1)</f>
        <v>46054</v>
      </c>
      <c r="BK10" s="20" cm="1">
        <f t="array" ref="BK10">DATE(BI$6,3,1)</f>
        <v>46082</v>
      </c>
      <c r="BL10" s="20" cm="1">
        <f t="array" ref="BL10">DATE(BI$6,4,1)</f>
        <v>46113</v>
      </c>
      <c r="BM10" s="20" cm="1">
        <f t="array" ref="BM10">DATE(BI$6,5,1)</f>
        <v>46143</v>
      </c>
      <c r="BN10" s="20" cm="1">
        <f t="array" ref="BN10">DATE(BI$6,6,1)</f>
        <v>46174</v>
      </c>
      <c r="BO10" s="20" cm="1">
        <f t="array" ref="BO10">DATE(BI$6,7,1)</f>
        <v>46204</v>
      </c>
      <c r="BP10" s="20" cm="1">
        <f t="array" ref="BP10">DATE(BI$6,8,1)</f>
        <v>46235</v>
      </c>
      <c r="BQ10" s="20" cm="1">
        <f t="array" ref="BQ10">DATE(BI$6,9,1)</f>
        <v>46266</v>
      </c>
      <c r="BR10" s="20" cm="1">
        <f t="array" ref="BR10">DATE(BI$6,10,1)</f>
        <v>46296</v>
      </c>
      <c r="BS10" s="20" cm="1">
        <f t="array" ref="BS10">DATE(BI$6,11,1)</f>
        <v>46327</v>
      </c>
      <c r="BT10" s="20" cm="1">
        <f t="array" ref="BT10">DATE(BI$6,12,1)</f>
        <v>46357</v>
      </c>
      <c r="BU10" s="21" cm="1">
        <f t="array" ref="BU10">BI$6</f>
        <v>2026</v>
      </c>
      <c r="BV10" s="11"/>
      <c r="BW10" s="20" cm="1">
        <f t="array" ref="BW10">DATE(BW$6,1,1)</f>
        <v>46388</v>
      </c>
      <c r="BX10" s="20" cm="1">
        <f t="array" ref="BX10">DATE(BW$6,2,1)</f>
        <v>46419</v>
      </c>
      <c r="BY10" s="20" cm="1">
        <f t="array" ref="BY10">DATE(BW$6,3,1)</f>
        <v>46447</v>
      </c>
      <c r="BZ10" s="20" cm="1">
        <f t="array" ref="BZ10">DATE(BW$6,4,1)</f>
        <v>46478</v>
      </c>
      <c r="CA10" s="20" cm="1">
        <f t="array" ref="CA10">DATE(BW$6,5,1)</f>
        <v>46508</v>
      </c>
      <c r="CB10" s="20" cm="1">
        <f t="array" ref="CB10">DATE(BW$6,6,1)</f>
        <v>46539</v>
      </c>
      <c r="CC10" s="20" cm="1">
        <f t="array" ref="CC10">DATE(BW$6,7,1)</f>
        <v>46569</v>
      </c>
      <c r="CD10" s="20" cm="1">
        <f t="array" ref="CD10">DATE(BW$6,8,1)</f>
        <v>46600</v>
      </c>
      <c r="CE10" s="20" cm="1">
        <f t="array" ref="CE10">DATE(BW$6,9,1)</f>
        <v>46631</v>
      </c>
      <c r="CF10" s="20" cm="1">
        <f t="array" ref="CF10">DATE(BW$6,10,1)</f>
        <v>46661</v>
      </c>
      <c r="CG10" s="20" cm="1">
        <f t="array" ref="CG10">DATE(BW$6,11,1)</f>
        <v>46692</v>
      </c>
      <c r="CH10" s="20" cm="1">
        <f t="array" ref="CH10">DATE(BW$6,12,1)</f>
        <v>46722</v>
      </c>
      <c r="CI10" s="21" cm="1">
        <f t="array" ref="CI10">BW$6</f>
        <v>2027</v>
      </c>
      <c r="CJ10" s="11"/>
      <c r="CK10" s="20" cm="1">
        <f t="array" ref="CK10">DATE(CK$6,1,1)</f>
        <v>46753</v>
      </c>
      <c r="CL10" s="20" cm="1">
        <f t="array" ref="CL10">DATE(CK$6,2,1)</f>
        <v>46784</v>
      </c>
      <c r="CM10" s="20" cm="1">
        <f t="array" ref="CM10">DATE(CK$6,3,1)</f>
        <v>46813</v>
      </c>
      <c r="CN10" s="20" cm="1">
        <f t="array" ref="CN10">DATE(CK$6,4,1)</f>
        <v>46844</v>
      </c>
      <c r="CO10" s="20" cm="1">
        <f t="array" ref="CO10">DATE(CK$6,5,1)</f>
        <v>46874</v>
      </c>
      <c r="CP10" s="20" cm="1">
        <f t="array" ref="CP10">DATE(CK$6,6,1)</f>
        <v>46905</v>
      </c>
      <c r="CQ10" s="20" cm="1">
        <f t="array" ref="CQ10">DATE(CK$6,7,1)</f>
        <v>46935</v>
      </c>
      <c r="CR10" s="20" cm="1">
        <f t="array" ref="CR10">DATE(CK$6,8,1)</f>
        <v>46966</v>
      </c>
      <c r="CS10" s="20" cm="1">
        <f t="array" ref="CS10">DATE(CK$6,9,1)</f>
        <v>46997</v>
      </c>
      <c r="CT10" s="20" cm="1">
        <f t="array" ref="CT10">DATE(CK$6,10,1)</f>
        <v>47027</v>
      </c>
      <c r="CU10" s="20" cm="1">
        <f t="array" ref="CU10">DATE(CK$6,11,1)</f>
        <v>47058</v>
      </c>
      <c r="CV10" s="20" cm="1">
        <f t="array" ref="CV10">DATE(CK$6,12,1)</f>
        <v>47088</v>
      </c>
      <c r="CW10" s="21" cm="1">
        <f t="array" ref="CW10">CK$6</f>
        <v>2028</v>
      </c>
      <c r="CX10" s="11"/>
      <c r="CY10" s="20" cm="1">
        <f t="array" ref="CY10">DATE(CY$6,1,1)</f>
        <v>47119</v>
      </c>
      <c r="CZ10" s="20" cm="1">
        <f t="array" ref="CZ10">DATE(CY$6,2,1)</f>
        <v>47150</v>
      </c>
      <c r="DA10" s="20" cm="1">
        <f t="array" ref="DA10">DATE(CY$6,3,1)</f>
        <v>47178</v>
      </c>
      <c r="DB10" s="20" cm="1">
        <f t="array" ref="DB10">DATE(CY$6,4,1)</f>
        <v>47209</v>
      </c>
      <c r="DC10" s="20" cm="1">
        <f t="array" ref="DC10">DATE(CY$6,5,1)</f>
        <v>47239</v>
      </c>
      <c r="DD10" s="20" cm="1">
        <f t="array" ref="DD10">DATE(CY$6,6,1)</f>
        <v>47270</v>
      </c>
      <c r="DE10" s="20" cm="1">
        <f t="array" ref="DE10">DATE(CY$6,7,1)</f>
        <v>47300</v>
      </c>
      <c r="DF10" s="20" cm="1">
        <f t="array" ref="DF10">DATE(CY$6,8,1)</f>
        <v>47331</v>
      </c>
      <c r="DG10" s="20" cm="1">
        <f t="array" ref="DG10">DATE(CY$6,9,1)</f>
        <v>47362</v>
      </c>
      <c r="DH10" s="20" cm="1">
        <f t="array" ref="DH10">DATE(CY$6,10,1)</f>
        <v>47392</v>
      </c>
      <c r="DI10" s="20" cm="1">
        <f t="array" ref="DI10">DATE(CY$6,11,1)</f>
        <v>47423</v>
      </c>
      <c r="DJ10" s="20" cm="1">
        <f t="array" ref="DJ10">DATE(CY$6,12,1)</f>
        <v>47453</v>
      </c>
      <c r="DK10" s="21" cm="1">
        <f t="array" ref="DK10">CY$6</f>
        <v>2029</v>
      </c>
      <c r="DL10" s="11"/>
      <c r="DM10" s="20" cm="1">
        <f t="array" ref="DM10">DATE(DM$6,1,1)</f>
        <v>47484</v>
      </c>
      <c r="DN10" s="20" cm="1">
        <f t="array" ref="DN10">DATE(DM$6,2,1)</f>
        <v>47515</v>
      </c>
      <c r="DO10" s="20" cm="1">
        <f t="array" ref="DO10">DATE(DM$6,3,1)</f>
        <v>47543</v>
      </c>
      <c r="DP10" s="20" cm="1">
        <f t="array" ref="DP10">DATE(DM$6,4,1)</f>
        <v>47574</v>
      </c>
      <c r="DQ10" s="20" cm="1">
        <f t="array" ref="DQ10">DATE(DM$6,5,1)</f>
        <v>47604</v>
      </c>
      <c r="DR10" s="20" cm="1">
        <f t="array" ref="DR10">DATE(DM$6,6,1)</f>
        <v>47635</v>
      </c>
      <c r="DS10" s="20" cm="1">
        <f t="array" ref="DS10">DATE(DM$6,7,1)</f>
        <v>47665</v>
      </c>
      <c r="DT10" s="20" cm="1">
        <f t="array" ref="DT10">DATE(DM$6,8,1)</f>
        <v>47696</v>
      </c>
      <c r="DU10" s="20" cm="1">
        <f t="array" ref="DU10">DATE(DM$6,9,1)</f>
        <v>47727</v>
      </c>
      <c r="DV10" s="20" cm="1">
        <f t="array" ref="DV10">DATE(DM$6,10,1)</f>
        <v>47757</v>
      </c>
      <c r="DW10" s="20" cm="1">
        <f t="array" ref="DW10">DATE(DM$6,11,1)</f>
        <v>47788</v>
      </c>
      <c r="DX10" s="20" cm="1">
        <f t="array" ref="DX10">DATE(DM$6,12,1)</f>
        <v>47818</v>
      </c>
      <c r="DY10" s="21" cm="1">
        <f t="array" ref="DY10">DM$6</f>
        <v>2030</v>
      </c>
      <c r="DZ10" s="11"/>
      <c r="EA10" s="20" cm="1">
        <f t="array" ref="EA10">DATE(EA$6,1,1)</f>
        <v>47849</v>
      </c>
      <c r="EB10" s="20" cm="1">
        <f t="array" ref="EB10">DATE(EA$6,2,1)</f>
        <v>47880</v>
      </c>
      <c r="EC10" s="20" cm="1">
        <f t="array" ref="EC10">DATE(EA$6,3,1)</f>
        <v>47908</v>
      </c>
      <c r="ED10" s="20" cm="1">
        <f t="array" ref="ED10">DATE(EA$6,4,1)</f>
        <v>47939</v>
      </c>
      <c r="EE10" s="20" cm="1">
        <f t="array" ref="EE10">DATE(EA$6,5,1)</f>
        <v>47969</v>
      </c>
      <c r="EF10" s="20" cm="1">
        <f t="array" ref="EF10">DATE(EA$6,6,1)</f>
        <v>48000</v>
      </c>
      <c r="EG10" s="20" cm="1">
        <f t="array" ref="EG10">DATE(EA$6,7,1)</f>
        <v>48030</v>
      </c>
      <c r="EH10" s="20" cm="1">
        <f t="array" ref="EH10">DATE(EA$6,8,1)</f>
        <v>48061</v>
      </c>
      <c r="EI10" s="20" cm="1">
        <f t="array" ref="EI10">DATE(EA$6,9,1)</f>
        <v>48092</v>
      </c>
      <c r="EJ10" s="20" cm="1">
        <f t="array" ref="EJ10">DATE(EA$6,10,1)</f>
        <v>48122</v>
      </c>
      <c r="EK10" s="20" cm="1">
        <f t="array" ref="EK10">DATE(EA$6,11,1)</f>
        <v>48153</v>
      </c>
      <c r="EL10" s="20" cm="1">
        <f t="array" ref="EL10">DATE(EA$6,12,1)</f>
        <v>48183</v>
      </c>
      <c r="EM10" s="21" cm="1">
        <f t="array" ref="EM10">EA$6</f>
        <v>2031</v>
      </c>
      <c r="EN10" s="11"/>
      <c r="EO10" s="20" cm="1">
        <f t="array" ref="EO10">DATE(EO$6,1,1)</f>
        <v>48214</v>
      </c>
      <c r="EP10" s="20" cm="1">
        <f t="array" ref="EP10">DATE(EO$6,2,1)</f>
        <v>48245</v>
      </c>
      <c r="EQ10" s="20" cm="1">
        <f t="array" ref="EQ10">DATE(EO$6,3,1)</f>
        <v>48274</v>
      </c>
      <c r="ER10" s="20" cm="1">
        <f t="array" ref="ER10">DATE(EO$6,4,1)</f>
        <v>48305</v>
      </c>
      <c r="ES10" s="20" cm="1">
        <f t="array" ref="ES10">DATE(EO$6,5,1)</f>
        <v>48335</v>
      </c>
      <c r="ET10" s="20" cm="1">
        <f t="array" ref="ET10">DATE(EO$6,6,1)</f>
        <v>48366</v>
      </c>
      <c r="EU10" s="20" cm="1">
        <f t="array" ref="EU10">DATE(EO$6,7,1)</f>
        <v>48396</v>
      </c>
      <c r="EV10" s="20" cm="1">
        <f t="array" ref="EV10">DATE(EO$6,8,1)</f>
        <v>48427</v>
      </c>
      <c r="EW10" s="20" cm="1">
        <f t="array" ref="EW10">DATE(EO$6,9,1)</f>
        <v>48458</v>
      </c>
      <c r="EX10" s="20" cm="1">
        <f t="array" ref="EX10">DATE(EO$6,10,1)</f>
        <v>48488</v>
      </c>
      <c r="EY10" s="20" cm="1">
        <f t="array" ref="EY10">DATE(EO$6,11,1)</f>
        <v>48519</v>
      </c>
      <c r="EZ10" s="20" cm="1">
        <f t="array" ref="EZ10">DATE(EO$6,12,1)</f>
        <v>48549</v>
      </c>
      <c r="FA10" s="21" cm="1">
        <f t="array" ref="FA10">EO$6</f>
        <v>2032</v>
      </c>
      <c r="FB10" s="11"/>
    </row>
    <row r="11" spans="1:158" ht="15.25" customHeight="1" x14ac:dyDescent="0.2">
      <c r="A11" s="10"/>
      <c r="B11" s="14"/>
      <c r="C11" s="29" t="s">
        <v>7</v>
      </c>
      <c r="D11" s="22"/>
      <c r="E11" s="33">
        <v>350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 cm="1">
        <f t="array" ref="Q11">SUM(E11:P11)</f>
        <v>350</v>
      </c>
      <c r="R11" s="44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 cm="1">
        <f t="array" ref="AE11">SUM(S11:AD11)</f>
        <v>0</v>
      </c>
      <c r="AF11" s="44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 cm="1">
        <f t="array" ref="AS11">SUM(AG11:AR11)</f>
        <v>0</v>
      </c>
      <c r="AT11" s="44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 cm="1">
        <f t="array" ref="BG11">SUM(AU11:BF11)</f>
        <v>0</v>
      </c>
      <c r="BH11" s="44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 cm="1">
        <f t="array" ref="BU11">SUM(BI11:BT11)</f>
        <v>0</v>
      </c>
      <c r="BV11" s="44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 cm="1">
        <f t="array" ref="CI11">SUM(BW11:CH11)</f>
        <v>0</v>
      </c>
      <c r="CJ11" s="44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 cm="1">
        <f t="array" ref="CW11">SUM(CK11:CV11)</f>
        <v>0</v>
      </c>
      <c r="CX11" s="44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 cm="1">
        <f t="array" ref="DK11">SUM(CY11:DJ11)</f>
        <v>0</v>
      </c>
      <c r="DL11" s="44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 cm="1">
        <f t="array" ref="DY11">SUM(DM11:DX11)</f>
        <v>0</v>
      </c>
      <c r="DZ11" s="44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 cm="1">
        <f t="array" ref="EM11">SUM(EA11:EL11)</f>
        <v>0</v>
      </c>
      <c r="EN11" s="44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 cm="1">
        <f t="array" ref="FA11">SUM(EO11:EZ11)</f>
        <v>0</v>
      </c>
      <c r="FB11" s="44"/>
    </row>
    <row r="12" spans="1:158" ht="15.25" customHeight="1" x14ac:dyDescent="0.2">
      <c r="A12" s="10"/>
      <c r="B12" s="14"/>
      <c r="C12" s="30" t="s">
        <v>8</v>
      </c>
      <c r="D12" s="22"/>
      <c r="E12" s="33"/>
      <c r="F12" s="33">
        <v>6511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 cm="1">
        <f t="array" ref="Q12">SUM(E12:P12)</f>
        <v>6511</v>
      </c>
      <c r="R12" s="44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 cm="1">
        <f t="array" ref="AE12">SUM(S12:AD12)</f>
        <v>0</v>
      </c>
      <c r="AF12" s="44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 cm="1">
        <f t="array" ref="AS12">SUM(AG12:AR12)</f>
        <v>0</v>
      </c>
      <c r="AT12" s="44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 cm="1">
        <f t="array" ref="BG12">SUM(AU12:BF12)</f>
        <v>0</v>
      </c>
      <c r="BH12" s="44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 cm="1">
        <f t="array" ref="BU12">SUM(BI12:BT12)</f>
        <v>0</v>
      </c>
      <c r="BV12" s="44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 cm="1">
        <f t="array" ref="CI12">SUM(BW12:CH12)</f>
        <v>0</v>
      </c>
      <c r="CJ12" s="44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 cm="1">
        <f t="array" ref="CW12">SUM(CK12:CV12)</f>
        <v>0</v>
      </c>
      <c r="CX12" s="44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 cm="1">
        <f t="array" ref="DK12">SUM(CY12:DJ12)</f>
        <v>0</v>
      </c>
      <c r="DL12" s="44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 cm="1">
        <f t="array" ref="DY12">SUM(DM12:DX12)</f>
        <v>0</v>
      </c>
      <c r="DZ12" s="44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 cm="1">
        <f t="array" ref="EM12">SUM(EA12:EL12)</f>
        <v>0</v>
      </c>
      <c r="EN12" s="44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 cm="1">
        <f t="array" ref="FA12">SUM(EO12:EZ12)</f>
        <v>0</v>
      </c>
      <c r="FB12" s="44"/>
    </row>
    <row r="13" spans="1:158" ht="15.25" customHeight="1" x14ac:dyDescent="0.2">
      <c r="A13" s="10"/>
      <c r="B13" s="14"/>
      <c r="C13" s="31" t="s">
        <v>23</v>
      </c>
      <c r="D13" s="22"/>
      <c r="E13" s="33"/>
      <c r="F13" s="33"/>
      <c r="G13" s="33">
        <v>614</v>
      </c>
      <c r="H13" s="33"/>
      <c r="I13" s="33"/>
      <c r="J13" s="33"/>
      <c r="K13" s="33"/>
      <c r="L13" s="33"/>
      <c r="M13" s="33"/>
      <c r="N13" s="33"/>
      <c r="O13" s="33"/>
      <c r="P13" s="33"/>
      <c r="Q13" s="33" cm="1">
        <f t="array" ref="Q13">SUM(E13:P13)</f>
        <v>614</v>
      </c>
      <c r="R13" s="44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 cm="1">
        <f t="array" ref="AE13">SUM(S13:AD13)</f>
        <v>0</v>
      </c>
      <c r="AF13" s="44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 cm="1">
        <f t="array" ref="AS13">SUM(AG13:AR13)</f>
        <v>0</v>
      </c>
      <c r="AT13" s="44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 cm="1">
        <f t="array" ref="BG13">SUM(AU13:BF13)</f>
        <v>0</v>
      </c>
      <c r="BH13" s="44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 cm="1">
        <f t="array" ref="BU13">SUM(BI13:BT13)</f>
        <v>0</v>
      </c>
      <c r="BV13" s="44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 cm="1">
        <f t="array" ref="CI13">SUM(BW13:CH13)</f>
        <v>0</v>
      </c>
      <c r="CJ13" s="44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 cm="1">
        <f t="array" ref="CW13">SUM(CK13:CV13)</f>
        <v>0</v>
      </c>
      <c r="CX13" s="44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 cm="1">
        <f t="array" ref="DK13">SUM(CY13:DJ13)</f>
        <v>0</v>
      </c>
      <c r="DL13" s="44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 cm="1">
        <f t="array" ref="DY13">SUM(DM13:DX13)</f>
        <v>0</v>
      </c>
      <c r="DZ13" s="44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 cm="1">
        <f t="array" ref="EM13">SUM(EA13:EL13)</f>
        <v>0</v>
      </c>
      <c r="EN13" s="44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 cm="1">
        <f t="array" ref="FA13">SUM(EO13:EZ13)</f>
        <v>0</v>
      </c>
      <c r="FB13" s="44"/>
    </row>
    <row r="14" spans="1:158" ht="15" hidden="1" customHeight="1" x14ac:dyDescent="0.2">
      <c r="A14" s="10"/>
      <c r="B14" s="11"/>
      <c r="C14" s="32" t="s">
        <v>9</v>
      </c>
      <c r="D14" s="2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 cm="1">
        <f t="array" ref="Q14">SUM(E14:P14)</f>
        <v>0</v>
      </c>
      <c r="R14" s="44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 cm="1">
        <f t="array" ref="AE14">SUM(S14:AD14)</f>
        <v>0</v>
      </c>
      <c r="AF14" s="44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 cm="1">
        <f t="array" ref="AS14">SUM(AG14:AR14)</f>
        <v>0</v>
      </c>
      <c r="AT14" s="44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 cm="1">
        <f t="array" ref="BG14">SUM(AU14:BF14)</f>
        <v>0</v>
      </c>
      <c r="BH14" s="44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 cm="1">
        <f t="array" ref="BU14">SUM(BI14:BT14)</f>
        <v>0</v>
      </c>
      <c r="BV14" s="44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 cm="1">
        <f t="array" ref="CI14">SUM(BW14:CH14)</f>
        <v>0</v>
      </c>
      <c r="CJ14" s="44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 cm="1">
        <f t="array" ref="CW14">SUM(CK14:CV14)</f>
        <v>0</v>
      </c>
      <c r="CX14" s="44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 cm="1">
        <f t="array" ref="DK14">SUM(CY14:DJ14)</f>
        <v>0</v>
      </c>
      <c r="DL14" s="44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 cm="1">
        <f t="array" ref="DY14">SUM(DM14:DX14)</f>
        <v>0</v>
      </c>
      <c r="DZ14" s="44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 cm="1">
        <f t="array" ref="EM14">SUM(EA14:EL14)</f>
        <v>0</v>
      </c>
      <c r="EN14" s="44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 cm="1">
        <f t="array" ref="FA14">SUM(EO14:EZ14)</f>
        <v>0</v>
      </c>
      <c r="FB14" s="44"/>
    </row>
    <row r="15" spans="1:158" ht="15" hidden="1" customHeight="1" x14ac:dyDescent="0.2">
      <c r="A15" s="10"/>
      <c r="B15" s="11"/>
      <c r="C15" s="32" t="s">
        <v>9</v>
      </c>
      <c r="D15" s="2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 cm="1">
        <f t="array" ref="Q15">SUM(E15:P15)</f>
        <v>0</v>
      </c>
      <c r="R15" s="44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 cm="1">
        <f t="array" ref="AE15">SUM(S15:AD15)</f>
        <v>0</v>
      </c>
      <c r="AF15" s="44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 cm="1">
        <f t="array" ref="AS15">SUM(AG15:AR15)</f>
        <v>0</v>
      </c>
      <c r="AT15" s="44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 cm="1">
        <f t="array" ref="BG15">SUM(AU15:BF15)</f>
        <v>0</v>
      </c>
      <c r="BH15" s="44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 cm="1">
        <f t="array" ref="BU15">SUM(BI15:BT15)</f>
        <v>0</v>
      </c>
      <c r="BV15" s="44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 cm="1">
        <f t="array" ref="CI15">SUM(BW15:CH15)</f>
        <v>0</v>
      </c>
      <c r="CJ15" s="44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 cm="1">
        <f t="array" ref="CW15">SUM(CK15:CV15)</f>
        <v>0</v>
      </c>
      <c r="CX15" s="44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 cm="1">
        <f t="array" ref="DK15">SUM(CY15:DJ15)</f>
        <v>0</v>
      </c>
      <c r="DL15" s="44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 cm="1">
        <f t="array" ref="DY15">SUM(DM15:DX15)</f>
        <v>0</v>
      </c>
      <c r="DZ15" s="44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 cm="1">
        <f t="array" ref="EM15">SUM(EA15:EL15)</f>
        <v>0</v>
      </c>
      <c r="EN15" s="44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 cm="1">
        <f t="array" ref="FA15">SUM(EO15:EZ15)</f>
        <v>0</v>
      </c>
      <c r="FB15" s="44"/>
    </row>
    <row r="16" spans="1:158" ht="15" hidden="1" customHeight="1" x14ac:dyDescent="0.2">
      <c r="A16" s="10"/>
      <c r="B16" s="11"/>
      <c r="C16" s="32" t="s">
        <v>9</v>
      </c>
      <c r="D16" s="2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 cm="1">
        <f t="array" ref="Q16">SUM(E16:P16)</f>
        <v>0</v>
      </c>
      <c r="R16" s="44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 cm="1">
        <f t="array" ref="AE16">SUM(S16:AD16)</f>
        <v>0</v>
      </c>
      <c r="AF16" s="44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 cm="1">
        <f t="array" ref="AS16">SUM(AG16:AR16)</f>
        <v>0</v>
      </c>
      <c r="AT16" s="44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 cm="1">
        <f t="array" ref="BG16">SUM(AU16:BF16)</f>
        <v>0</v>
      </c>
      <c r="BH16" s="44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 cm="1">
        <f t="array" ref="BU16">SUM(BI16:BT16)</f>
        <v>0</v>
      </c>
      <c r="BV16" s="44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 cm="1">
        <f t="array" ref="CI16">SUM(BW16:CH16)</f>
        <v>0</v>
      </c>
      <c r="CJ16" s="44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 cm="1">
        <f t="array" ref="CW16">SUM(CK16:CV16)</f>
        <v>0</v>
      </c>
      <c r="CX16" s="44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 cm="1">
        <f t="array" ref="DK16">SUM(CY16:DJ16)</f>
        <v>0</v>
      </c>
      <c r="DL16" s="44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 cm="1">
        <f t="array" ref="DY16">SUM(DM16:DX16)</f>
        <v>0</v>
      </c>
      <c r="DZ16" s="44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 cm="1">
        <f t="array" ref="EM16">SUM(EA16:EL16)</f>
        <v>0</v>
      </c>
      <c r="EN16" s="44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 cm="1">
        <f t="array" ref="FA16">SUM(EO16:EZ16)</f>
        <v>0</v>
      </c>
      <c r="FB16" s="44"/>
    </row>
    <row r="17" spans="1:158" ht="15" hidden="1" customHeight="1" x14ac:dyDescent="0.2">
      <c r="A17" s="10"/>
      <c r="B17" s="11"/>
      <c r="C17" s="32" t="s">
        <v>9</v>
      </c>
      <c r="D17" s="2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 cm="1">
        <f t="array" ref="Q17">SUM(E17:P17)</f>
        <v>0</v>
      </c>
      <c r="R17" s="44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 cm="1">
        <f t="array" ref="AE17">SUM(S17:AD17)</f>
        <v>0</v>
      </c>
      <c r="AF17" s="44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 cm="1">
        <f t="array" ref="AS17">SUM(AG17:AR17)</f>
        <v>0</v>
      </c>
      <c r="AT17" s="44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 cm="1">
        <f t="array" ref="BG17">SUM(AU17:BF17)</f>
        <v>0</v>
      </c>
      <c r="BH17" s="44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 cm="1">
        <f t="array" ref="BU17">SUM(BI17:BT17)</f>
        <v>0</v>
      </c>
      <c r="BV17" s="44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 cm="1">
        <f t="array" ref="CI17">SUM(BW17:CH17)</f>
        <v>0</v>
      </c>
      <c r="CJ17" s="44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 cm="1">
        <f t="array" ref="CW17">SUM(CK17:CV17)</f>
        <v>0</v>
      </c>
      <c r="CX17" s="44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 cm="1">
        <f t="array" ref="DK17">SUM(CY17:DJ17)</f>
        <v>0</v>
      </c>
      <c r="DL17" s="44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 cm="1">
        <f t="array" ref="DY17">SUM(DM17:DX17)</f>
        <v>0</v>
      </c>
      <c r="DZ17" s="44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 cm="1">
        <f t="array" ref="EM17">SUM(EA17:EL17)</f>
        <v>0</v>
      </c>
      <c r="EN17" s="44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 cm="1">
        <f t="array" ref="FA17">SUM(EO17:EZ17)</f>
        <v>0</v>
      </c>
      <c r="FB17" s="44"/>
    </row>
    <row r="18" spans="1:158" ht="15" hidden="1" customHeight="1" x14ac:dyDescent="0.2">
      <c r="A18" s="10"/>
      <c r="B18" s="11"/>
      <c r="C18" s="32" t="s">
        <v>9</v>
      </c>
      <c r="D18" s="2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 cm="1">
        <f t="array" ref="Q18">SUM(E18:P18)</f>
        <v>0</v>
      </c>
      <c r="R18" s="44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 cm="1">
        <f t="array" ref="AE18">SUM(S18:AD18)</f>
        <v>0</v>
      </c>
      <c r="AF18" s="44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 cm="1">
        <f t="array" ref="AS18">SUM(AG18:AR18)</f>
        <v>0</v>
      </c>
      <c r="AT18" s="44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 cm="1">
        <f t="array" ref="BG18">SUM(AU18:BF18)</f>
        <v>0</v>
      </c>
      <c r="BH18" s="44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 cm="1">
        <f t="array" ref="BU18">SUM(BI18:BT18)</f>
        <v>0</v>
      </c>
      <c r="BV18" s="44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 cm="1">
        <f t="array" ref="CI18">SUM(BW18:CH18)</f>
        <v>0</v>
      </c>
      <c r="CJ18" s="44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 cm="1">
        <f t="array" ref="CW18">SUM(CK18:CV18)</f>
        <v>0</v>
      </c>
      <c r="CX18" s="44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 cm="1">
        <f t="array" ref="DK18">SUM(CY18:DJ18)</f>
        <v>0</v>
      </c>
      <c r="DL18" s="44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 cm="1">
        <f t="array" ref="DY18">SUM(DM18:DX18)</f>
        <v>0</v>
      </c>
      <c r="DZ18" s="44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 cm="1">
        <f t="array" ref="EM18">SUM(EA18:EL18)</f>
        <v>0</v>
      </c>
      <c r="EN18" s="44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 cm="1">
        <f t="array" ref="FA18">SUM(EO18:EZ18)</f>
        <v>0</v>
      </c>
      <c r="FB18" s="44"/>
    </row>
    <row r="19" spans="1:158" ht="15" hidden="1" customHeight="1" x14ac:dyDescent="0.2">
      <c r="A19" s="10"/>
      <c r="B19" s="11"/>
      <c r="C19" s="32" t="s">
        <v>9</v>
      </c>
      <c r="D19" s="2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 cm="1">
        <f t="array" ref="Q19">SUM(E19:P19)</f>
        <v>0</v>
      </c>
      <c r="R19" s="44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 cm="1">
        <f t="array" ref="AE19">SUM(S19:AD19)</f>
        <v>0</v>
      </c>
      <c r="AF19" s="44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 cm="1">
        <f t="array" ref="AS19">SUM(AG19:AR19)</f>
        <v>0</v>
      </c>
      <c r="AT19" s="44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 cm="1">
        <f t="array" ref="BG19">SUM(AU19:BF19)</f>
        <v>0</v>
      </c>
      <c r="BH19" s="44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 cm="1">
        <f t="array" ref="BU19">SUM(BI19:BT19)</f>
        <v>0</v>
      </c>
      <c r="BV19" s="44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 cm="1">
        <f t="array" ref="CI19">SUM(BW19:CH19)</f>
        <v>0</v>
      </c>
      <c r="CJ19" s="44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 cm="1">
        <f t="array" ref="CW19">SUM(CK19:CV19)</f>
        <v>0</v>
      </c>
      <c r="CX19" s="44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 cm="1">
        <f t="array" ref="DK19">SUM(CY19:DJ19)</f>
        <v>0</v>
      </c>
      <c r="DL19" s="44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 cm="1">
        <f t="array" ref="DY19">SUM(DM19:DX19)</f>
        <v>0</v>
      </c>
      <c r="DZ19" s="44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 cm="1">
        <f t="array" ref="EM19">SUM(EA19:EL19)</f>
        <v>0</v>
      </c>
      <c r="EN19" s="44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 cm="1">
        <f t="array" ref="FA19">SUM(EO19:EZ19)</f>
        <v>0</v>
      </c>
      <c r="FB19" s="44"/>
    </row>
    <row r="20" spans="1:158" ht="15" hidden="1" customHeight="1" x14ac:dyDescent="0.2">
      <c r="A20" s="10"/>
      <c r="B20" s="11"/>
      <c r="C20" s="32" t="s">
        <v>9</v>
      </c>
      <c r="D20" s="2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 cm="1">
        <f t="array" ref="Q20">SUM(E20:P20)</f>
        <v>0</v>
      </c>
      <c r="R20" s="44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 cm="1">
        <f t="array" ref="AE20">SUM(S20:AD20)</f>
        <v>0</v>
      </c>
      <c r="AF20" s="44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 cm="1">
        <f t="array" ref="AS20">SUM(AG20:AR20)</f>
        <v>0</v>
      </c>
      <c r="AT20" s="44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 cm="1">
        <f t="array" ref="BG20">SUM(AU20:BF20)</f>
        <v>0</v>
      </c>
      <c r="BH20" s="44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 cm="1">
        <f t="array" ref="BU20">SUM(BI20:BT20)</f>
        <v>0</v>
      </c>
      <c r="BV20" s="44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 cm="1">
        <f t="array" ref="CI20">SUM(BW20:CH20)</f>
        <v>0</v>
      </c>
      <c r="CJ20" s="44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 cm="1">
        <f t="array" ref="CW20">SUM(CK20:CV20)</f>
        <v>0</v>
      </c>
      <c r="CX20" s="44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 cm="1">
        <f t="array" ref="DK20">SUM(CY20:DJ20)</f>
        <v>0</v>
      </c>
      <c r="DL20" s="44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 cm="1">
        <f t="array" ref="DY20">SUM(DM20:DX20)</f>
        <v>0</v>
      </c>
      <c r="DZ20" s="44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 cm="1">
        <f t="array" ref="EM20">SUM(EA20:EL20)</f>
        <v>0</v>
      </c>
      <c r="EN20" s="44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 cm="1">
        <f t="array" ref="FA20">SUM(EO20:EZ20)</f>
        <v>0</v>
      </c>
      <c r="FB20" s="44"/>
    </row>
    <row r="21" spans="1:158" ht="15" hidden="1" customHeight="1" x14ac:dyDescent="0.2">
      <c r="A21" s="10"/>
      <c r="B21" s="11"/>
      <c r="C21" s="32" t="s">
        <v>9</v>
      </c>
      <c r="D21" s="2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 cm="1">
        <f t="array" ref="Q21">SUM(E21:P21)</f>
        <v>0</v>
      </c>
      <c r="R21" s="44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 cm="1">
        <f t="array" ref="AE21">SUM(S21:AD21)</f>
        <v>0</v>
      </c>
      <c r="AF21" s="44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 cm="1">
        <f t="array" ref="AS21">SUM(AG21:AR21)</f>
        <v>0</v>
      </c>
      <c r="AT21" s="44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 cm="1">
        <f t="array" ref="BG21">SUM(AU21:BF21)</f>
        <v>0</v>
      </c>
      <c r="BH21" s="44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 cm="1">
        <f t="array" ref="BU21">SUM(BI21:BT21)</f>
        <v>0</v>
      </c>
      <c r="BV21" s="44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 cm="1">
        <f t="array" ref="CI21">SUM(BW21:CH21)</f>
        <v>0</v>
      </c>
      <c r="CJ21" s="44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 cm="1">
        <f t="array" ref="CW21">SUM(CK21:CV21)</f>
        <v>0</v>
      </c>
      <c r="CX21" s="44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 cm="1">
        <f t="array" ref="DK21">SUM(CY21:DJ21)</f>
        <v>0</v>
      </c>
      <c r="DL21" s="44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 cm="1">
        <f t="array" ref="DY21">SUM(DM21:DX21)</f>
        <v>0</v>
      </c>
      <c r="DZ21" s="44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 cm="1">
        <f t="array" ref="EM21">SUM(EA21:EL21)</f>
        <v>0</v>
      </c>
      <c r="EN21" s="44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 cm="1">
        <f t="array" ref="FA21">SUM(EO21:EZ21)</f>
        <v>0</v>
      </c>
      <c r="FB21" s="44"/>
    </row>
    <row r="22" spans="1:158" ht="15" hidden="1" customHeight="1" x14ac:dyDescent="0.2">
      <c r="A22" s="10"/>
      <c r="B22" s="11"/>
      <c r="C22" s="32" t="s">
        <v>9</v>
      </c>
      <c r="D22" s="2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 cm="1">
        <f t="array" ref="Q22">SUM(E22:P22)</f>
        <v>0</v>
      </c>
      <c r="R22" s="44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 cm="1">
        <f t="array" ref="AE22">SUM(S22:AD22)</f>
        <v>0</v>
      </c>
      <c r="AF22" s="44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 cm="1">
        <f t="array" ref="AS22">SUM(AG22:AR22)</f>
        <v>0</v>
      </c>
      <c r="AT22" s="44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 cm="1">
        <f t="array" ref="BG22">SUM(AU22:BF22)</f>
        <v>0</v>
      </c>
      <c r="BH22" s="44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 cm="1">
        <f t="array" ref="BU22">SUM(BI22:BT22)</f>
        <v>0</v>
      </c>
      <c r="BV22" s="44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 cm="1">
        <f t="array" ref="CI22">SUM(BW22:CH22)</f>
        <v>0</v>
      </c>
      <c r="CJ22" s="44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 cm="1">
        <f t="array" ref="CW22">SUM(CK22:CV22)</f>
        <v>0</v>
      </c>
      <c r="CX22" s="44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 cm="1">
        <f t="array" ref="DK22">SUM(CY22:DJ22)</f>
        <v>0</v>
      </c>
      <c r="DL22" s="44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 cm="1">
        <f t="array" ref="DY22">SUM(DM22:DX22)</f>
        <v>0</v>
      </c>
      <c r="DZ22" s="44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 cm="1">
        <f t="array" ref="EM22">SUM(EA22:EL22)</f>
        <v>0</v>
      </c>
      <c r="EN22" s="44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 cm="1">
        <f t="array" ref="FA22">SUM(EO22:EZ22)</f>
        <v>0</v>
      </c>
      <c r="FB22" s="44"/>
    </row>
    <row r="23" spans="1:158" ht="15" hidden="1" customHeight="1" x14ac:dyDescent="0.2">
      <c r="A23" s="10"/>
      <c r="B23" s="11"/>
      <c r="C23" s="32" t="s">
        <v>9</v>
      </c>
      <c r="D23" s="2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 cm="1">
        <f t="array" ref="Q23">SUM(E23:P23)</f>
        <v>0</v>
      </c>
      <c r="R23" s="44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 cm="1">
        <f t="array" ref="AE23">SUM(S23:AD23)</f>
        <v>0</v>
      </c>
      <c r="AF23" s="44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 cm="1">
        <f t="array" ref="AS23">SUM(AG23:AR23)</f>
        <v>0</v>
      </c>
      <c r="AT23" s="44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 cm="1">
        <f t="array" ref="BG23">SUM(AU23:BF23)</f>
        <v>0</v>
      </c>
      <c r="BH23" s="44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 cm="1">
        <f t="array" ref="BU23">SUM(BI23:BT23)</f>
        <v>0</v>
      </c>
      <c r="BV23" s="44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 cm="1">
        <f t="array" ref="CI23">SUM(BW23:CH23)</f>
        <v>0</v>
      </c>
      <c r="CJ23" s="44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 cm="1">
        <f t="array" ref="CW23">SUM(CK23:CV23)</f>
        <v>0</v>
      </c>
      <c r="CX23" s="44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 cm="1">
        <f t="array" ref="DK23">SUM(CY23:DJ23)</f>
        <v>0</v>
      </c>
      <c r="DL23" s="44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 cm="1">
        <f t="array" ref="DY23">SUM(DM23:DX23)</f>
        <v>0</v>
      </c>
      <c r="DZ23" s="44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 cm="1">
        <f t="array" ref="EM23">SUM(EA23:EL23)</f>
        <v>0</v>
      </c>
      <c r="EN23" s="44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 cm="1">
        <f t="array" ref="FA23">SUM(EO23:EZ23)</f>
        <v>0</v>
      </c>
      <c r="FB23" s="44"/>
    </row>
    <row r="24" spans="1:158" ht="15" hidden="1" customHeight="1" x14ac:dyDescent="0.2">
      <c r="A24" s="10"/>
      <c r="B24" s="11"/>
      <c r="C24" s="32" t="s">
        <v>9</v>
      </c>
      <c r="D24" s="2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 cm="1">
        <f t="array" ref="Q24">SUM(E24:P24)</f>
        <v>0</v>
      </c>
      <c r="R24" s="44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 cm="1">
        <f t="array" ref="AE24">SUM(S24:AD24)</f>
        <v>0</v>
      </c>
      <c r="AF24" s="44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 cm="1">
        <f t="array" ref="AS24">SUM(AG24:AR24)</f>
        <v>0</v>
      </c>
      <c r="AT24" s="44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 cm="1">
        <f t="array" ref="BG24">SUM(AU24:BF24)</f>
        <v>0</v>
      </c>
      <c r="BH24" s="44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 cm="1">
        <f t="array" ref="BU24">SUM(BI24:BT24)</f>
        <v>0</v>
      </c>
      <c r="BV24" s="44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 cm="1">
        <f t="array" ref="CI24">SUM(BW24:CH24)</f>
        <v>0</v>
      </c>
      <c r="CJ24" s="44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 cm="1">
        <f t="array" ref="CW24">SUM(CK24:CV24)</f>
        <v>0</v>
      </c>
      <c r="CX24" s="44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 cm="1">
        <f t="array" ref="DK24">SUM(CY24:DJ24)</f>
        <v>0</v>
      </c>
      <c r="DL24" s="44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 cm="1">
        <f t="array" ref="DY24">SUM(DM24:DX24)</f>
        <v>0</v>
      </c>
      <c r="DZ24" s="44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 cm="1">
        <f t="array" ref="EM24">SUM(EA24:EL24)</f>
        <v>0</v>
      </c>
      <c r="EN24" s="44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 cm="1">
        <f t="array" ref="FA24">SUM(EO24:EZ24)</f>
        <v>0</v>
      </c>
      <c r="FB24" s="44"/>
    </row>
    <row r="25" spans="1:158" ht="15" hidden="1" customHeight="1" x14ac:dyDescent="0.2">
      <c r="A25" s="10"/>
      <c r="B25" s="11"/>
      <c r="C25" s="32" t="s">
        <v>9</v>
      </c>
      <c r="D25" s="2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 cm="1">
        <f t="array" ref="Q25">SUM(E25:P25)</f>
        <v>0</v>
      </c>
      <c r="R25" s="44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 cm="1">
        <f t="array" ref="AE25">SUM(S25:AD25)</f>
        <v>0</v>
      </c>
      <c r="AF25" s="44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 cm="1">
        <f t="array" ref="AS25">SUM(AG25:AR25)</f>
        <v>0</v>
      </c>
      <c r="AT25" s="44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 cm="1">
        <f t="array" ref="BG25">SUM(AU25:BF25)</f>
        <v>0</v>
      </c>
      <c r="BH25" s="44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 cm="1">
        <f t="array" ref="BU25">SUM(BI25:BT25)</f>
        <v>0</v>
      </c>
      <c r="BV25" s="44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 cm="1">
        <f t="array" ref="CI25">SUM(BW25:CH25)</f>
        <v>0</v>
      </c>
      <c r="CJ25" s="44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 cm="1">
        <f t="array" ref="CW25">SUM(CK25:CV25)</f>
        <v>0</v>
      </c>
      <c r="CX25" s="44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 cm="1">
        <f t="array" ref="DK25">SUM(CY25:DJ25)</f>
        <v>0</v>
      </c>
      <c r="DL25" s="44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 cm="1">
        <f t="array" ref="DY25">SUM(DM25:DX25)</f>
        <v>0</v>
      </c>
      <c r="DZ25" s="44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 cm="1">
        <f t="array" ref="EM25">SUM(EA25:EL25)</f>
        <v>0</v>
      </c>
      <c r="EN25" s="44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 cm="1">
        <f t="array" ref="FA25">SUM(EO25:EZ25)</f>
        <v>0</v>
      </c>
      <c r="FB25" s="44"/>
    </row>
    <row r="26" spans="1:158" ht="15" hidden="1" customHeight="1" x14ac:dyDescent="0.2">
      <c r="A26" s="10"/>
      <c r="B26" s="11"/>
      <c r="C26" s="32" t="s">
        <v>9</v>
      </c>
      <c r="D26" s="1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 cm="1">
        <f t="array" ref="Q26">SUM(E26:P26)</f>
        <v>0</v>
      </c>
      <c r="R26" s="44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 cm="1">
        <f t="array" ref="AE26">SUM(S26:AD26)</f>
        <v>0</v>
      </c>
      <c r="AF26" s="44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 cm="1">
        <f t="array" ref="AS26">SUM(AG26:AR26)</f>
        <v>0</v>
      </c>
      <c r="AT26" s="44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 cm="1">
        <f t="array" ref="BG26">SUM(AU26:BF26)</f>
        <v>0</v>
      </c>
      <c r="BH26" s="44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 cm="1">
        <f t="array" ref="BU26">SUM(BI26:BT26)</f>
        <v>0</v>
      </c>
      <c r="BV26" s="44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 cm="1">
        <f t="array" ref="CI26">SUM(BW26:CH26)</f>
        <v>0</v>
      </c>
      <c r="CJ26" s="44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 cm="1">
        <f t="array" ref="CW26">SUM(CK26:CV26)</f>
        <v>0</v>
      </c>
      <c r="CX26" s="44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 cm="1">
        <f t="array" ref="DK26">SUM(CY26:DJ26)</f>
        <v>0</v>
      </c>
      <c r="DL26" s="44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 cm="1">
        <f t="array" ref="DY26">SUM(DM26:DX26)</f>
        <v>0</v>
      </c>
      <c r="DZ26" s="44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 cm="1">
        <f t="array" ref="EM26">SUM(EA26:EL26)</f>
        <v>0</v>
      </c>
      <c r="EN26" s="44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 cm="1">
        <f t="array" ref="FA26">SUM(EO26:EZ26)</f>
        <v>0</v>
      </c>
      <c r="FB26" s="44"/>
    </row>
    <row r="27" spans="1:158" ht="15.25" customHeight="1" x14ac:dyDescent="0.2">
      <c r="A27" s="10"/>
      <c r="B27" s="11"/>
      <c r="C27" s="27" t="s">
        <v>10</v>
      </c>
      <c r="D27" s="14"/>
      <c r="E27" s="28" cm="1">
        <f t="array" aca="1" ref="E27" ca="1">SUM(INDIRECT(ADDRESS(income_min_row, COLUMN()) &amp; ":" &amp; ADDRESS(income_max_row, COLUMN())))</f>
        <v>350</v>
      </c>
      <c r="F27" s="28" cm="1">
        <f t="array" aca="1" ref="F27" ca="1">SUM(INDIRECT(ADDRESS(income_min_row, COLUMN()) &amp; ":" &amp; ADDRESS(income_max_row, COLUMN())))</f>
        <v>6511</v>
      </c>
      <c r="G27" s="28" cm="1">
        <f t="array" aca="1" ref="G27" ca="1">SUM(INDIRECT(ADDRESS(income_min_row, COLUMN()) &amp; ":" &amp; ADDRESS(income_max_row, COLUMN())))</f>
        <v>614</v>
      </c>
      <c r="H27" s="28" cm="1">
        <f t="array" aca="1" ref="H27" ca="1">SUM(INDIRECT(ADDRESS(income_min_row, COLUMN()) &amp; ":" &amp; ADDRESS(income_max_row, COLUMN())))</f>
        <v>0</v>
      </c>
      <c r="I27" s="28" cm="1">
        <f t="array" aca="1" ref="I27" ca="1">SUM(INDIRECT(ADDRESS(income_min_row, COLUMN()) &amp; ":" &amp; ADDRESS(income_max_row, COLUMN())))</f>
        <v>0</v>
      </c>
      <c r="J27" s="28" cm="1">
        <f t="array" aca="1" ref="J27" ca="1">SUM(INDIRECT(ADDRESS(income_min_row, COLUMN()) &amp; ":" &amp; ADDRESS(income_max_row, COLUMN())))</f>
        <v>0</v>
      </c>
      <c r="K27" s="28" cm="1">
        <f t="array" aca="1" ref="K27" ca="1">SUM(INDIRECT(ADDRESS(income_min_row, COLUMN()) &amp; ":" &amp; ADDRESS(income_max_row, COLUMN())))</f>
        <v>0</v>
      </c>
      <c r="L27" s="28" cm="1">
        <f t="array" aca="1" ref="L27" ca="1">SUM(INDIRECT(ADDRESS(income_min_row, COLUMN()) &amp; ":" &amp; ADDRESS(income_max_row, COLUMN())))</f>
        <v>0</v>
      </c>
      <c r="M27" s="28" cm="1">
        <f t="array" aca="1" ref="M27" ca="1">SUM(INDIRECT(ADDRESS(income_min_row, COLUMN()) &amp; ":" &amp; ADDRESS(income_max_row, COLUMN())))</f>
        <v>0</v>
      </c>
      <c r="N27" s="28" cm="1">
        <f t="array" aca="1" ref="N27" ca="1">SUM(INDIRECT(ADDRESS(income_min_row, COLUMN()) &amp; ":" &amp; ADDRESS(income_max_row, COLUMN())))</f>
        <v>0</v>
      </c>
      <c r="O27" s="28" cm="1">
        <f t="array" aca="1" ref="O27" ca="1">SUM(INDIRECT(ADDRESS(income_min_row, COLUMN()) &amp; ":" &amp; ADDRESS(income_max_row, COLUMN())))</f>
        <v>0</v>
      </c>
      <c r="P27" s="28" cm="1">
        <f t="array" aca="1" ref="P27" ca="1">SUM(INDIRECT(ADDRESS(income_min_row, COLUMN()) &amp; ":" &amp; ADDRESS(income_max_row, COLUMN())))</f>
        <v>0</v>
      </c>
      <c r="Q27" s="28" cm="1">
        <f t="array" aca="1" ref="Q27" ca="1">SUM(INDIRECT(ADDRESS(income_min_row, COLUMN()) &amp; ":" &amp; ADDRESS(income_max_row, COLUMN())))</f>
        <v>7475</v>
      </c>
      <c r="R27" s="44"/>
      <c r="S27" s="28" cm="1">
        <f t="array" aca="1" ref="S27" ca="1">SUM(INDIRECT(ADDRESS(income_min_row, COLUMN()) &amp; ":" &amp; ADDRESS(income_max_row, COLUMN())))</f>
        <v>0</v>
      </c>
      <c r="T27" s="28" cm="1">
        <f t="array" aca="1" ref="T27" ca="1">SUM(INDIRECT(ADDRESS(income_min_row, COLUMN()) &amp; ":" &amp; ADDRESS(income_max_row, COLUMN())))</f>
        <v>0</v>
      </c>
      <c r="U27" s="28" cm="1">
        <f t="array" aca="1" ref="U27" ca="1">SUM(INDIRECT(ADDRESS(income_min_row, COLUMN()) &amp; ":" &amp; ADDRESS(income_max_row, COLUMN())))</f>
        <v>0</v>
      </c>
      <c r="V27" s="28" cm="1">
        <f t="array" aca="1" ref="V27" ca="1">SUM(INDIRECT(ADDRESS(income_min_row, COLUMN()) &amp; ":" &amp; ADDRESS(income_max_row, COLUMN())))</f>
        <v>0</v>
      </c>
      <c r="W27" s="28" cm="1">
        <f t="array" aca="1" ref="W27" ca="1">SUM(INDIRECT(ADDRESS(income_min_row, COLUMN()) &amp; ":" &amp; ADDRESS(income_max_row, COLUMN())))</f>
        <v>0</v>
      </c>
      <c r="X27" s="28" cm="1">
        <f t="array" aca="1" ref="X27" ca="1">SUM(INDIRECT(ADDRESS(income_min_row, COLUMN()) &amp; ":" &amp; ADDRESS(income_max_row, COLUMN())))</f>
        <v>0</v>
      </c>
      <c r="Y27" s="28" cm="1">
        <f t="array" aca="1" ref="Y27" ca="1">SUM(INDIRECT(ADDRESS(income_min_row, COLUMN()) &amp; ":" &amp; ADDRESS(income_max_row, COLUMN())))</f>
        <v>0</v>
      </c>
      <c r="Z27" s="28" cm="1">
        <f t="array" aca="1" ref="Z27" ca="1">SUM(INDIRECT(ADDRESS(income_min_row, COLUMN()) &amp; ":" &amp; ADDRESS(income_max_row, COLUMN())))</f>
        <v>0</v>
      </c>
      <c r="AA27" s="28" cm="1">
        <f t="array" aca="1" ref="AA27" ca="1">SUM(INDIRECT(ADDRESS(income_min_row, COLUMN()) &amp; ":" &amp; ADDRESS(income_max_row, COLUMN())))</f>
        <v>0</v>
      </c>
      <c r="AB27" s="28" cm="1">
        <f t="array" aca="1" ref="AB27" ca="1">SUM(INDIRECT(ADDRESS(income_min_row, COLUMN()) &amp; ":" &amp; ADDRESS(income_max_row, COLUMN())))</f>
        <v>0</v>
      </c>
      <c r="AC27" s="28" cm="1">
        <f t="array" aca="1" ref="AC27" ca="1">SUM(INDIRECT(ADDRESS(income_min_row, COLUMN()) &amp; ":" &amp; ADDRESS(income_max_row, COLUMN())))</f>
        <v>0</v>
      </c>
      <c r="AD27" s="28" cm="1">
        <f t="array" aca="1" ref="AD27" ca="1">SUM(INDIRECT(ADDRESS(income_min_row, COLUMN()) &amp; ":" &amp; ADDRESS(income_max_row, COLUMN())))</f>
        <v>0</v>
      </c>
      <c r="AE27" s="28" cm="1">
        <f t="array" aca="1" ref="AE27" ca="1">SUM(INDIRECT(ADDRESS(income_min_row, COLUMN()) &amp; ":" &amp; ADDRESS(income_max_row, COLUMN())))</f>
        <v>0</v>
      </c>
      <c r="AF27" s="44"/>
      <c r="AG27" s="28" cm="1">
        <f t="array" aca="1" ref="AG27" ca="1">SUM(INDIRECT(ADDRESS(income_min_row, COLUMN()) &amp; ":" &amp; ADDRESS(income_max_row, COLUMN())))</f>
        <v>0</v>
      </c>
      <c r="AH27" s="28" cm="1">
        <f t="array" aca="1" ref="AH27" ca="1">SUM(INDIRECT(ADDRESS(income_min_row, COLUMN()) &amp; ":" &amp; ADDRESS(income_max_row, COLUMN())))</f>
        <v>0</v>
      </c>
      <c r="AI27" s="28" cm="1">
        <f t="array" aca="1" ref="AI27" ca="1">SUM(INDIRECT(ADDRESS(income_min_row, COLUMN()) &amp; ":" &amp; ADDRESS(income_max_row, COLUMN())))</f>
        <v>0</v>
      </c>
      <c r="AJ27" s="28" cm="1">
        <f t="array" aca="1" ref="AJ27" ca="1">SUM(INDIRECT(ADDRESS(income_min_row, COLUMN()) &amp; ":" &amp; ADDRESS(income_max_row, COLUMN())))</f>
        <v>0</v>
      </c>
      <c r="AK27" s="28" cm="1">
        <f t="array" aca="1" ref="AK27" ca="1">SUM(INDIRECT(ADDRESS(income_min_row, COLUMN()) &amp; ":" &amp; ADDRESS(income_max_row, COLUMN())))</f>
        <v>0</v>
      </c>
      <c r="AL27" s="28" cm="1">
        <f t="array" aca="1" ref="AL27" ca="1">SUM(INDIRECT(ADDRESS(income_min_row, COLUMN()) &amp; ":" &amp; ADDRESS(income_max_row, COLUMN())))</f>
        <v>0</v>
      </c>
      <c r="AM27" s="28" cm="1">
        <f t="array" aca="1" ref="AM27" ca="1">SUM(INDIRECT(ADDRESS(income_min_row, COLUMN()) &amp; ":" &amp; ADDRESS(income_max_row, COLUMN())))</f>
        <v>0</v>
      </c>
      <c r="AN27" s="28" cm="1">
        <f t="array" aca="1" ref="AN27" ca="1">SUM(INDIRECT(ADDRESS(income_min_row, COLUMN()) &amp; ":" &amp; ADDRESS(income_max_row, COLUMN())))</f>
        <v>0</v>
      </c>
      <c r="AO27" s="28" cm="1">
        <f t="array" aca="1" ref="AO27" ca="1">SUM(INDIRECT(ADDRESS(income_min_row, COLUMN()) &amp; ":" &amp; ADDRESS(income_max_row, COLUMN())))</f>
        <v>0</v>
      </c>
      <c r="AP27" s="28" cm="1">
        <f t="array" aca="1" ref="AP27" ca="1">SUM(INDIRECT(ADDRESS(income_min_row, COLUMN()) &amp; ":" &amp; ADDRESS(income_max_row, COLUMN())))</f>
        <v>0</v>
      </c>
      <c r="AQ27" s="28" cm="1">
        <f t="array" aca="1" ref="AQ27" ca="1">SUM(INDIRECT(ADDRESS(income_min_row, COLUMN()) &amp; ":" &amp; ADDRESS(income_max_row, COLUMN())))</f>
        <v>0</v>
      </c>
      <c r="AR27" s="28" cm="1">
        <f t="array" aca="1" ref="AR27" ca="1">SUM(INDIRECT(ADDRESS(income_min_row, COLUMN()) &amp; ":" &amp; ADDRESS(income_max_row, COLUMN())))</f>
        <v>0</v>
      </c>
      <c r="AS27" s="28" cm="1">
        <f t="array" aca="1" ref="AS27" ca="1">SUM(INDIRECT(ADDRESS(income_min_row, COLUMN()) &amp; ":" &amp; ADDRESS(income_max_row, COLUMN())))</f>
        <v>0</v>
      </c>
      <c r="AT27" s="44"/>
      <c r="AU27" s="28" cm="1">
        <f t="array" aca="1" ref="AU27" ca="1">SUM(INDIRECT(ADDRESS(income_min_row, COLUMN()) &amp; ":" &amp; ADDRESS(income_max_row, COLUMN())))</f>
        <v>0</v>
      </c>
      <c r="AV27" s="28" cm="1">
        <f t="array" aca="1" ref="AV27" ca="1">SUM(INDIRECT(ADDRESS(income_min_row, COLUMN()) &amp; ":" &amp; ADDRESS(income_max_row, COLUMN())))</f>
        <v>0</v>
      </c>
      <c r="AW27" s="28" cm="1">
        <f t="array" aca="1" ref="AW27" ca="1">SUM(INDIRECT(ADDRESS(income_min_row, COLUMN()) &amp; ":" &amp; ADDRESS(income_max_row, COLUMN())))</f>
        <v>0</v>
      </c>
      <c r="AX27" s="28" cm="1">
        <f t="array" aca="1" ref="AX27" ca="1">SUM(INDIRECT(ADDRESS(income_min_row, COLUMN()) &amp; ":" &amp; ADDRESS(income_max_row, COLUMN())))</f>
        <v>0</v>
      </c>
      <c r="AY27" s="28" cm="1">
        <f t="array" aca="1" ref="AY27" ca="1">SUM(INDIRECT(ADDRESS(income_min_row, COLUMN()) &amp; ":" &amp; ADDRESS(income_max_row, COLUMN())))</f>
        <v>0</v>
      </c>
      <c r="AZ27" s="28" cm="1">
        <f t="array" aca="1" ref="AZ27" ca="1">SUM(INDIRECT(ADDRESS(income_min_row, COLUMN()) &amp; ":" &amp; ADDRESS(income_max_row, COLUMN())))</f>
        <v>0</v>
      </c>
      <c r="BA27" s="28" cm="1">
        <f t="array" aca="1" ref="BA27" ca="1">SUM(INDIRECT(ADDRESS(income_min_row, COLUMN()) &amp; ":" &amp; ADDRESS(income_max_row, COLUMN())))</f>
        <v>0</v>
      </c>
      <c r="BB27" s="28" cm="1">
        <f t="array" aca="1" ref="BB27" ca="1">SUM(INDIRECT(ADDRESS(income_min_row, COLUMN()) &amp; ":" &amp; ADDRESS(income_max_row, COLUMN())))</f>
        <v>0</v>
      </c>
      <c r="BC27" s="28" cm="1">
        <f t="array" aca="1" ref="BC27" ca="1">SUM(INDIRECT(ADDRESS(income_min_row, COLUMN()) &amp; ":" &amp; ADDRESS(income_max_row, COLUMN())))</f>
        <v>0</v>
      </c>
      <c r="BD27" s="28" cm="1">
        <f t="array" aca="1" ref="BD27" ca="1">SUM(INDIRECT(ADDRESS(income_min_row, COLUMN()) &amp; ":" &amp; ADDRESS(income_max_row, COLUMN())))</f>
        <v>0</v>
      </c>
      <c r="BE27" s="28" cm="1">
        <f t="array" aca="1" ref="BE27" ca="1">SUM(INDIRECT(ADDRESS(income_min_row, COLUMN()) &amp; ":" &amp; ADDRESS(income_max_row, COLUMN())))</f>
        <v>0</v>
      </c>
      <c r="BF27" s="28" cm="1">
        <f t="array" aca="1" ref="BF27" ca="1">SUM(INDIRECT(ADDRESS(income_min_row, COLUMN()) &amp; ":" &amp; ADDRESS(income_max_row, COLUMN())))</f>
        <v>0</v>
      </c>
      <c r="BG27" s="28" cm="1">
        <f t="array" aca="1" ref="BG27" ca="1">SUM(INDIRECT(ADDRESS(income_min_row, COLUMN()) &amp; ":" &amp; ADDRESS(income_max_row, COLUMN())))</f>
        <v>0</v>
      </c>
      <c r="BH27" s="44"/>
      <c r="BI27" s="28" cm="1">
        <f t="array" aca="1" ref="BI27" ca="1">SUM(INDIRECT(ADDRESS(income_min_row, COLUMN()) &amp; ":" &amp; ADDRESS(income_max_row, COLUMN())))</f>
        <v>0</v>
      </c>
      <c r="BJ27" s="28" cm="1">
        <f t="array" aca="1" ref="BJ27" ca="1">SUM(INDIRECT(ADDRESS(income_min_row, COLUMN()) &amp; ":" &amp; ADDRESS(income_max_row, COLUMN())))</f>
        <v>0</v>
      </c>
      <c r="BK27" s="28" cm="1">
        <f t="array" aca="1" ref="BK27" ca="1">SUM(INDIRECT(ADDRESS(income_min_row, COLUMN()) &amp; ":" &amp; ADDRESS(income_max_row, COLUMN())))</f>
        <v>0</v>
      </c>
      <c r="BL27" s="28" cm="1">
        <f t="array" aca="1" ref="BL27" ca="1">SUM(INDIRECT(ADDRESS(income_min_row, COLUMN()) &amp; ":" &amp; ADDRESS(income_max_row, COLUMN())))</f>
        <v>0</v>
      </c>
      <c r="BM27" s="28" cm="1">
        <f t="array" aca="1" ref="BM27" ca="1">SUM(INDIRECT(ADDRESS(income_min_row, COLUMN()) &amp; ":" &amp; ADDRESS(income_max_row, COLUMN())))</f>
        <v>0</v>
      </c>
      <c r="BN27" s="28" cm="1">
        <f t="array" aca="1" ref="BN27" ca="1">SUM(INDIRECT(ADDRESS(income_min_row, COLUMN()) &amp; ":" &amp; ADDRESS(income_max_row, COLUMN())))</f>
        <v>0</v>
      </c>
      <c r="BO27" s="28" cm="1">
        <f t="array" aca="1" ref="BO27" ca="1">SUM(INDIRECT(ADDRESS(income_min_row, COLUMN()) &amp; ":" &amp; ADDRESS(income_max_row, COLUMN())))</f>
        <v>0</v>
      </c>
      <c r="BP27" s="28" cm="1">
        <f t="array" aca="1" ref="BP27" ca="1">SUM(INDIRECT(ADDRESS(income_min_row, COLUMN()) &amp; ":" &amp; ADDRESS(income_max_row, COLUMN())))</f>
        <v>0</v>
      </c>
      <c r="BQ27" s="28" cm="1">
        <f t="array" aca="1" ref="BQ27" ca="1">SUM(INDIRECT(ADDRESS(income_min_row, COLUMN()) &amp; ":" &amp; ADDRESS(income_max_row, COLUMN())))</f>
        <v>0</v>
      </c>
      <c r="BR27" s="28" cm="1">
        <f t="array" aca="1" ref="BR27" ca="1">SUM(INDIRECT(ADDRESS(income_min_row, COLUMN()) &amp; ":" &amp; ADDRESS(income_max_row, COLUMN())))</f>
        <v>0</v>
      </c>
      <c r="BS27" s="28" cm="1">
        <f t="array" aca="1" ref="BS27" ca="1">SUM(INDIRECT(ADDRESS(income_min_row, COLUMN()) &amp; ":" &amp; ADDRESS(income_max_row, COLUMN())))</f>
        <v>0</v>
      </c>
      <c r="BT27" s="28" cm="1">
        <f t="array" aca="1" ref="BT27" ca="1">SUM(INDIRECT(ADDRESS(income_min_row, COLUMN()) &amp; ":" &amp; ADDRESS(income_max_row, COLUMN())))</f>
        <v>0</v>
      </c>
      <c r="BU27" s="28" cm="1">
        <f t="array" aca="1" ref="BU27" ca="1">SUM(INDIRECT(ADDRESS(income_min_row, COLUMN()) &amp; ":" &amp; ADDRESS(income_max_row, COLUMN())))</f>
        <v>0</v>
      </c>
      <c r="BV27" s="44"/>
      <c r="BW27" s="28" cm="1">
        <f t="array" aca="1" ref="BW27" ca="1">SUM(INDIRECT(ADDRESS(income_min_row, COLUMN()) &amp; ":" &amp; ADDRESS(income_max_row, COLUMN())))</f>
        <v>0</v>
      </c>
      <c r="BX27" s="28" cm="1">
        <f t="array" aca="1" ref="BX27" ca="1">SUM(INDIRECT(ADDRESS(income_min_row, COLUMN()) &amp; ":" &amp; ADDRESS(income_max_row, COLUMN())))</f>
        <v>0</v>
      </c>
      <c r="BY27" s="28" cm="1">
        <f t="array" aca="1" ref="BY27" ca="1">SUM(INDIRECT(ADDRESS(income_min_row, COLUMN()) &amp; ":" &amp; ADDRESS(income_max_row, COLUMN())))</f>
        <v>0</v>
      </c>
      <c r="BZ27" s="28" cm="1">
        <f t="array" aca="1" ref="BZ27" ca="1">SUM(INDIRECT(ADDRESS(income_min_row, COLUMN()) &amp; ":" &amp; ADDRESS(income_max_row, COLUMN())))</f>
        <v>0</v>
      </c>
      <c r="CA27" s="28" cm="1">
        <f t="array" aca="1" ref="CA27" ca="1">SUM(INDIRECT(ADDRESS(income_min_row, COLUMN()) &amp; ":" &amp; ADDRESS(income_max_row, COLUMN())))</f>
        <v>0</v>
      </c>
      <c r="CB27" s="28" cm="1">
        <f t="array" aca="1" ref="CB27" ca="1">SUM(INDIRECT(ADDRESS(income_min_row, COLUMN()) &amp; ":" &amp; ADDRESS(income_max_row, COLUMN())))</f>
        <v>0</v>
      </c>
      <c r="CC27" s="28" cm="1">
        <f t="array" aca="1" ref="CC27" ca="1">SUM(INDIRECT(ADDRESS(income_min_row, COLUMN()) &amp; ":" &amp; ADDRESS(income_max_row, COLUMN())))</f>
        <v>0</v>
      </c>
      <c r="CD27" s="28" cm="1">
        <f t="array" aca="1" ref="CD27" ca="1">SUM(INDIRECT(ADDRESS(income_min_row, COLUMN()) &amp; ":" &amp; ADDRESS(income_max_row, COLUMN())))</f>
        <v>0</v>
      </c>
      <c r="CE27" s="28" cm="1">
        <f t="array" aca="1" ref="CE27" ca="1">SUM(INDIRECT(ADDRESS(income_min_row, COLUMN()) &amp; ":" &amp; ADDRESS(income_max_row, COLUMN())))</f>
        <v>0</v>
      </c>
      <c r="CF27" s="28" cm="1">
        <f t="array" aca="1" ref="CF27" ca="1">SUM(INDIRECT(ADDRESS(income_min_row, COLUMN()) &amp; ":" &amp; ADDRESS(income_max_row, COLUMN())))</f>
        <v>0</v>
      </c>
      <c r="CG27" s="28" cm="1">
        <f t="array" aca="1" ref="CG27" ca="1">SUM(INDIRECT(ADDRESS(income_min_row, COLUMN()) &amp; ":" &amp; ADDRESS(income_max_row, COLUMN())))</f>
        <v>0</v>
      </c>
      <c r="CH27" s="28" cm="1">
        <f t="array" aca="1" ref="CH27" ca="1">SUM(INDIRECT(ADDRESS(income_min_row, COLUMN()) &amp; ":" &amp; ADDRESS(income_max_row, COLUMN())))</f>
        <v>0</v>
      </c>
      <c r="CI27" s="28" cm="1">
        <f t="array" aca="1" ref="CI27" ca="1">SUM(INDIRECT(ADDRESS(income_min_row, COLUMN()) &amp; ":" &amp; ADDRESS(income_max_row, COLUMN())))</f>
        <v>0</v>
      </c>
      <c r="CJ27" s="44"/>
      <c r="CK27" s="28" cm="1">
        <f t="array" aca="1" ref="CK27" ca="1">SUM(INDIRECT(ADDRESS(income_min_row, COLUMN()) &amp; ":" &amp; ADDRESS(income_max_row, COLUMN())))</f>
        <v>0</v>
      </c>
      <c r="CL27" s="28" cm="1">
        <f t="array" aca="1" ref="CL27" ca="1">SUM(INDIRECT(ADDRESS(income_min_row, COLUMN()) &amp; ":" &amp; ADDRESS(income_max_row, COLUMN())))</f>
        <v>0</v>
      </c>
      <c r="CM27" s="28" cm="1">
        <f t="array" aca="1" ref="CM27" ca="1">SUM(INDIRECT(ADDRESS(income_min_row, COLUMN()) &amp; ":" &amp; ADDRESS(income_max_row, COLUMN())))</f>
        <v>0</v>
      </c>
      <c r="CN27" s="28" cm="1">
        <f t="array" aca="1" ref="CN27" ca="1">SUM(INDIRECT(ADDRESS(income_min_row, COLUMN()) &amp; ":" &amp; ADDRESS(income_max_row, COLUMN())))</f>
        <v>0</v>
      </c>
      <c r="CO27" s="28" cm="1">
        <f t="array" aca="1" ref="CO27" ca="1">SUM(INDIRECT(ADDRESS(income_min_row, COLUMN()) &amp; ":" &amp; ADDRESS(income_max_row, COLUMN())))</f>
        <v>0</v>
      </c>
      <c r="CP27" s="28" cm="1">
        <f t="array" aca="1" ref="CP27" ca="1">SUM(INDIRECT(ADDRESS(income_min_row, COLUMN()) &amp; ":" &amp; ADDRESS(income_max_row, COLUMN())))</f>
        <v>0</v>
      </c>
      <c r="CQ27" s="28" cm="1">
        <f t="array" aca="1" ref="CQ27" ca="1">SUM(INDIRECT(ADDRESS(income_min_row, COLUMN()) &amp; ":" &amp; ADDRESS(income_max_row, COLUMN())))</f>
        <v>0</v>
      </c>
      <c r="CR27" s="28" cm="1">
        <f t="array" aca="1" ref="CR27" ca="1">SUM(INDIRECT(ADDRESS(income_min_row, COLUMN()) &amp; ":" &amp; ADDRESS(income_max_row, COLUMN())))</f>
        <v>0</v>
      </c>
      <c r="CS27" s="28" cm="1">
        <f t="array" aca="1" ref="CS27" ca="1">SUM(INDIRECT(ADDRESS(income_min_row, COLUMN()) &amp; ":" &amp; ADDRESS(income_max_row, COLUMN())))</f>
        <v>0</v>
      </c>
      <c r="CT27" s="28" cm="1">
        <f t="array" aca="1" ref="CT27" ca="1">SUM(INDIRECT(ADDRESS(income_min_row, COLUMN()) &amp; ":" &amp; ADDRESS(income_max_row, COLUMN())))</f>
        <v>0</v>
      </c>
      <c r="CU27" s="28" cm="1">
        <f t="array" aca="1" ref="CU27" ca="1">SUM(INDIRECT(ADDRESS(income_min_row, COLUMN()) &amp; ":" &amp; ADDRESS(income_max_row, COLUMN())))</f>
        <v>0</v>
      </c>
      <c r="CV27" s="28" cm="1">
        <f t="array" aca="1" ref="CV27" ca="1">SUM(INDIRECT(ADDRESS(income_min_row, COLUMN()) &amp; ":" &amp; ADDRESS(income_max_row, COLUMN())))</f>
        <v>0</v>
      </c>
      <c r="CW27" s="28" cm="1">
        <f t="array" aca="1" ref="CW27" ca="1">SUM(INDIRECT(ADDRESS(income_min_row, COLUMN()) &amp; ":" &amp; ADDRESS(income_max_row, COLUMN())))</f>
        <v>0</v>
      </c>
      <c r="CX27" s="44"/>
      <c r="CY27" s="28" cm="1">
        <f t="array" aca="1" ref="CY27" ca="1">SUM(INDIRECT(ADDRESS(income_min_row, COLUMN()) &amp; ":" &amp; ADDRESS(income_max_row, COLUMN())))</f>
        <v>0</v>
      </c>
      <c r="CZ27" s="28" cm="1">
        <f t="array" aca="1" ref="CZ27" ca="1">SUM(INDIRECT(ADDRESS(income_min_row, COLUMN()) &amp; ":" &amp; ADDRESS(income_max_row, COLUMN())))</f>
        <v>0</v>
      </c>
      <c r="DA27" s="28" cm="1">
        <f t="array" aca="1" ref="DA27" ca="1">SUM(INDIRECT(ADDRESS(income_min_row, COLUMN()) &amp; ":" &amp; ADDRESS(income_max_row, COLUMN())))</f>
        <v>0</v>
      </c>
      <c r="DB27" s="28" cm="1">
        <f t="array" aca="1" ref="DB27" ca="1">SUM(INDIRECT(ADDRESS(income_min_row, COLUMN()) &amp; ":" &amp; ADDRESS(income_max_row, COLUMN())))</f>
        <v>0</v>
      </c>
      <c r="DC27" s="28" cm="1">
        <f t="array" aca="1" ref="DC27" ca="1">SUM(INDIRECT(ADDRESS(income_min_row, COLUMN()) &amp; ":" &amp; ADDRESS(income_max_row, COLUMN())))</f>
        <v>0</v>
      </c>
      <c r="DD27" s="28" cm="1">
        <f t="array" aca="1" ref="DD27" ca="1">SUM(INDIRECT(ADDRESS(income_min_row, COLUMN()) &amp; ":" &amp; ADDRESS(income_max_row, COLUMN())))</f>
        <v>0</v>
      </c>
      <c r="DE27" s="28" cm="1">
        <f t="array" aca="1" ref="DE27" ca="1">SUM(INDIRECT(ADDRESS(income_min_row, COLUMN()) &amp; ":" &amp; ADDRESS(income_max_row, COLUMN())))</f>
        <v>0</v>
      </c>
      <c r="DF27" s="28" cm="1">
        <f t="array" aca="1" ref="DF27" ca="1">SUM(INDIRECT(ADDRESS(income_min_row, COLUMN()) &amp; ":" &amp; ADDRESS(income_max_row, COLUMN())))</f>
        <v>0</v>
      </c>
      <c r="DG27" s="28" cm="1">
        <f t="array" aca="1" ref="DG27" ca="1">SUM(INDIRECT(ADDRESS(income_min_row, COLUMN()) &amp; ":" &amp; ADDRESS(income_max_row, COLUMN())))</f>
        <v>0</v>
      </c>
      <c r="DH27" s="28" cm="1">
        <f t="array" aca="1" ref="DH27" ca="1">SUM(INDIRECT(ADDRESS(income_min_row, COLUMN()) &amp; ":" &amp; ADDRESS(income_max_row, COLUMN())))</f>
        <v>0</v>
      </c>
      <c r="DI27" s="28" cm="1">
        <f t="array" aca="1" ref="DI27" ca="1">SUM(INDIRECT(ADDRESS(income_min_row, COLUMN()) &amp; ":" &amp; ADDRESS(income_max_row, COLUMN())))</f>
        <v>0</v>
      </c>
      <c r="DJ27" s="28" cm="1">
        <f t="array" aca="1" ref="DJ27" ca="1">SUM(INDIRECT(ADDRESS(income_min_row, COLUMN()) &amp; ":" &amp; ADDRESS(income_max_row, COLUMN())))</f>
        <v>0</v>
      </c>
      <c r="DK27" s="28" cm="1">
        <f t="array" aca="1" ref="DK27" ca="1">SUM(INDIRECT(ADDRESS(income_min_row, COLUMN()) &amp; ":" &amp; ADDRESS(income_max_row, COLUMN())))</f>
        <v>0</v>
      </c>
      <c r="DL27" s="44"/>
      <c r="DM27" s="28" cm="1">
        <f t="array" aca="1" ref="DM27" ca="1">SUM(INDIRECT(ADDRESS(income_min_row, COLUMN()) &amp; ":" &amp; ADDRESS(income_max_row, COLUMN())))</f>
        <v>0</v>
      </c>
      <c r="DN27" s="28" cm="1">
        <f t="array" aca="1" ref="DN27" ca="1">SUM(INDIRECT(ADDRESS(income_min_row, COLUMN()) &amp; ":" &amp; ADDRESS(income_max_row, COLUMN())))</f>
        <v>0</v>
      </c>
      <c r="DO27" s="28" cm="1">
        <f t="array" aca="1" ref="DO27" ca="1">SUM(INDIRECT(ADDRESS(income_min_row, COLUMN()) &amp; ":" &amp; ADDRESS(income_max_row, COLUMN())))</f>
        <v>0</v>
      </c>
      <c r="DP27" s="28" cm="1">
        <f t="array" aca="1" ref="DP27" ca="1">SUM(INDIRECT(ADDRESS(income_min_row, COLUMN()) &amp; ":" &amp; ADDRESS(income_max_row, COLUMN())))</f>
        <v>0</v>
      </c>
      <c r="DQ27" s="28" cm="1">
        <f t="array" aca="1" ref="DQ27" ca="1">SUM(INDIRECT(ADDRESS(income_min_row, COLUMN()) &amp; ":" &amp; ADDRESS(income_max_row, COLUMN())))</f>
        <v>0</v>
      </c>
      <c r="DR27" s="28" cm="1">
        <f t="array" aca="1" ref="DR27" ca="1">SUM(INDIRECT(ADDRESS(income_min_row, COLUMN()) &amp; ":" &amp; ADDRESS(income_max_row, COLUMN())))</f>
        <v>0</v>
      </c>
      <c r="DS27" s="28" cm="1">
        <f t="array" aca="1" ref="DS27" ca="1">SUM(INDIRECT(ADDRESS(income_min_row, COLUMN()) &amp; ":" &amp; ADDRESS(income_max_row, COLUMN())))</f>
        <v>0</v>
      </c>
      <c r="DT27" s="28" cm="1">
        <f t="array" aca="1" ref="DT27" ca="1">SUM(INDIRECT(ADDRESS(income_min_row, COLUMN()) &amp; ":" &amp; ADDRESS(income_max_row, COLUMN())))</f>
        <v>0</v>
      </c>
      <c r="DU27" s="28" cm="1">
        <f t="array" aca="1" ref="DU27" ca="1">SUM(INDIRECT(ADDRESS(income_min_row, COLUMN()) &amp; ":" &amp; ADDRESS(income_max_row, COLUMN())))</f>
        <v>0</v>
      </c>
      <c r="DV27" s="28" cm="1">
        <f t="array" aca="1" ref="DV27" ca="1">SUM(INDIRECT(ADDRESS(income_min_row, COLUMN()) &amp; ":" &amp; ADDRESS(income_max_row, COLUMN())))</f>
        <v>0</v>
      </c>
      <c r="DW27" s="28" cm="1">
        <f t="array" aca="1" ref="DW27" ca="1">SUM(INDIRECT(ADDRESS(income_min_row, COLUMN()) &amp; ":" &amp; ADDRESS(income_max_row, COLUMN())))</f>
        <v>0</v>
      </c>
      <c r="DX27" s="28" cm="1">
        <f t="array" aca="1" ref="DX27" ca="1">SUM(INDIRECT(ADDRESS(income_min_row, COLUMN()) &amp; ":" &amp; ADDRESS(income_max_row, COLUMN())))</f>
        <v>0</v>
      </c>
      <c r="DY27" s="28" cm="1">
        <f t="array" aca="1" ref="DY27" ca="1">SUM(INDIRECT(ADDRESS(income_min_row, COLUMN()) &amp; ":" &amp; ADDRESS(income_max_row, COLUMN())))</f>
        <v>0</v>
      </c>
      <c r="DZ27" s="44"/>
      <c r="EA27" s="28" cm="1">
        <f t="array" aca="1" ref="EA27" ca="1">SUM(INDIRECT(ADDRESS(income_min_row, COLUMN()) &amp; ":" &amp; ADDRESS(income_max_row, COLUMN())))</f>
        <v>0</v>
      </c>
      <c r="EB27" s="28" cm="1">
        <f t="array" aca="1" ref="EB27" ca="1">SUM(INDIRECT(ADDRESS(income_min_row, COLUMN()) &amp; ":" &amp; ADDRESS(income_max_row, COLUMN())))</f>
        <v>0</v>
      </c>
      <c r="EC27" s="28" cm="1">
        <f t="array" aca="1" ref="EC27" ca="1">SUM(INDIRECT(ADDRESS(income_min_row, COLUMN()) &amp; ":" &amp; ADDRESS(income_max_row, COLUMN())))</f>
        <v>0</v>
      </c>
      <c r="ED27" s="28" cm="1">
        <f t="array" aca="1" ref="ED27" ca="1">SUM(INDIRECT(ADDRESS(income_min_row, COLUMN()) &amp; ":" &amp; ADDRESS(income_max_row, COLUMN())))</f>
        <v>0</v>
      </c>
      <c r="EE27" s="28" cm="1">
        <f t="array" aca="1" ref="EE27" ca="1">SUM(INDIRECT(ADDRESS(income_min_row, COLUMN()) &amp; ":" &amp; ADDRESS(income_max_row, COLUMN())))</f>
        <v>0</v>
      </c>
      <c r="EF27" s="28" cm="1">
        <f t="array" aca="1" ref="EF27" ca="1">SUM(INDIRECT(ADDRESS(income_min_row, COLUMN()) &amp; ":" &amp; ADDRESS(income_max_row, COLUMN())))</f>
        <v>0</v>
      </c>
      <c r="EG27" s="28" cm="1">
        <f t="array" aca="1" ref="EG27" ca="1">SUM(INDIRECT(ADDRESS(income_min_row, COLUMN()) &amp; ":" &amp; ADDRESS(income_max_row, COLUMN())))</f>
        <v>0</v>
      </c>
      <c r="EH27" s="28" cm="1">
        <f t="array" aca="1" ref="EH27" ca="1">SUM(INDIRECT(ADDRESS(income_min_row, COLUMN()) &amp; ":" &amp; ADDRESS(income_max_row, COLUMN())))</f>
        <v>0</v>
      </c>
      <c r="EI27" s="28" cm="1">
        <f t="array" aca="1" ref="EI27" ca="1">SUM(INDIRECT(ADDRESS(income_min_row, COLUMN()) &amp; ":" &amp; ADDRESS(income_max_row, COLUMN())))</f>
        <v>0</v>
      </c>
      <c r="EJ27" s="28" cm="1">
        <f t="array" aca="1" ref="EJ27" ca="1">SUM(INDIRECT(ADDRESS(income_min_row, COLUMN()) &amp; ":" &amp; ADDRESS(income_max_row, COLUMN())))</f>
        <v>0</v>
      </c>
      <c r="EK27" s="28" cm="1">
        <f t="array" aca="1" ref="EK27" ca="1">SUM(INDIRECT(ADDRESS(income_min_row, COLUMN()) &amp; ":" &amp; ADDRESS(income_max_row, COLUMN())))</f>
        <v>0</v>
      </c>
      <c r="EL27" s="28" cm="1">
        <f t="array" aca="1" ref="EL27" ca="1">SUM(INDIRECT(ADDRESS(income_min_row, COLUMN()) &amp; ":" &amp; ADDRESS(income_max_row, COLUMN())))</f>
        <v>0</v>
      </c>
      <c r="EM27" s="28" cm="1">
        <f t="array" aca="1" ref="EM27" ca="1">SUM(INDIRECT(ADDRESS(income_min_row, COLUMN()) &amp; ":" &amp; ADDRESS(income_max_row, COLUMN())))</f>
        <v>0</v>
      </c>
      <c r="EN27" s="44"/>
      <c r="EO27" s="28" cm="1">
        <f t="array" aca="1" ref="EO27" ca="1">SUM(INDIRECT(ADDRESS(income_min_row, COLUMN()) &amp; ":" &amp; ADDRESS(income_max_row, COLUMN())))</f>
        <v>0</v>
      </c>
      <c r="EP27" s="28" cm="1">
        <f t="array" aca="1" ref="EP27" ca="1">SUM(INDIRECT(ADDRESS(income_min_row, COLUMN()) &amp; ":" &amp; ADDRESS(income_max_row, COLUMN())))</f>
        <v>0</v>
      </c>
      <c r="EQ27" s="28" cm="1">
        <f t="array" aca="1" ref="EQ27" ca="1">SUM(INDIRECT(ADDRESS(income_min_row, COLUMN()) &amp; ":" &amp; ADDRESS(income_max_row, COLUMN())))</f>
        <v>0</v>
      </c>
      <c r="ER27" s="28" cm="1">
        <f t="array" aca="1" ref="ER27" ca="1">SUM(INDIRECT(ADDRESS(income_min_row, COLUMN()) &amp; ":" &amp; ADDRESS(income_max_row, COLUMN())))</f>
        <v>0</v>
      </c>
      <c r="ES27" s="28" cm="1">
        <f t="array" aca="1" ref="ES27" ca="1">SUM(INDIRECT(ADDRESS(income_min_row, COLUMN()) &amp; ":" &amp; ADDRESS(income_max_row, COLUMN())))</f>
        <v>0</v>
      </c>
      <c r="ET27" s="28" cm="1">
        <f t="array" aca="1" ref="ET27" ca="1">SUM(INDIRECT(ADDRESS(income_min_row, COLUMN()) &amp; ":" &amp; ADDRESS(income_max_row, COLUMN())))</f>
        <v>0</v>
      </c>
      <c r="EU27" s="28" cm="1">
        <f t="array" aca="1" ref="EU27" ca="1">SUM(INDIRECT(ADDRESS(income_min_row, COLUMN()) &amp; ":" &amp; ADDRESS(income_max_row, COLUMN())))</f>
        <v>0</v>
      </c>
      <c r="EV27" s="28" cm="1">
        <f t="array" aca="1" ref="EV27" ca="1">SUM(INDIRECT(ADDRESS(income_min_row, COLUMN()) &amp; ":" &amp; ADDRESS(income_max_row, COLUMN())))</f>
        <v>0</v>
      </c>
      <c r="EW27" s="28" cm="1">
        <f t="array" aca="1" ref="EW27" ca="1">SUM(INDIRECT(ADDRESS(income_min_row, COLUMN()) &amp; ":" &amp; ADDRESS(income_max_row, COLUMN())))</f>
        <v>0</v>
      </c>
      <c r="EX27" s="28" cm="1">
        <f t="array" aca="1" ref="EX27" ca="1">SUM(INDIRECT(ADDRESS(income_min_row, COLUMN()) &amp; ":" &amp; ADDRESS(income_max_row, COLUMN())))</f>
        <v>0</v>
      </c>
      <c r="EY27" s="28" cm="1">
        <f t="array" aca="1" ref="EY27" ca="1">SUM(INDIRECT(ADDRESS(income_min_row, COLUMN()) &amp; ":" &amp; ADDRESS(income_max_row, COLUMN())))</f>
        <v>0</v>
      </c>
      <c r="EZ27" s="28" cm="1">
        <f t="array" aca="1" ref="EZ27" ca="1">SUM(INDIRECT(ADDRESS(income_min_row, COLUMN()) &amp; ":" &amp; ADDRESS(income_max_row, COLUMN())))</f>
        <v>0</v>
      </c>
      <c r="FA27" s="28" cm="1">
        <f t="array" aca="1" ref="FA27" ca="1">SUM(INDIRECT(ADDRESS(income_min_row, COLUMN()) &amp; ":" &amp; ADDRESS(income_max_row, COLUMN())))</f>
        <v>0</v>
      </c>
      <c r="FB27" s="44"/>
    </row>
    <row r="28" spans="1:158" ht="15.25" customHeight="1" x14ac:dyDescent="0.2">
      <c r="A28" s="10"/>
      <c r="B28" s="11"/>
      <c r="C28" s="26"/>
      <c r="D28" s="11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1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1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1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1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1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1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1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1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1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1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1"/>
    </row>
    <row r="29" spans="1:158" ht="16" customHeight="1" x14ac:dyDescent="0.2">
      <c r="C29" s="34" t="s">
        <v>11</v>
      </c>
      <c r="D29" s="19"/>
      <c r="E29" s="36" cm="1">
        <f t="array" ref="E29">DATE(E$6,1,1)</f>
        <v>44562</v>
      </c>
      <c r="F29" s="36" cm="1">
        <f t="array" ref="F29">DATE(E$6,2,1)</f>
        <v>44593</v>
      </c>
      <c r="G29" s="36" cm="1">
        <f t="array" ref="G29">DATE(E$6,3,1)</f>
        <v>44621</v>
      </c>
      <c r="H29" s="36" cm="1">
        <f t="array" ref="H29">DATE(E$6,4,1)</f>
        <v>44652</v>
      </c>
      <c r="I29" s="36" cm="1">
        <f t="array" ref="I29">DATE(E$6,5,1)</f>
        <v>44682</v>
      </c>
      <c r="J29" s="36" cm="1">
        <f t="array" ref="J29">DATE(E$6,6,1)</f>
        <v>44713</v>
      </c>
      <c r="K29" s="36" cm="1">
        <f t="array" ref="K29">DATE(E$6,7,1)</f>
        <v>44743</v>
      </c>
      <c r="L29" s="36" cm="1">
        <f t="array" ref="L29">DATE(E$6,8,1)</f>
        <v>44774</v>
      </c>
      <c r="M29" s="36" cm="1">
        <f t="array" ref="M29">DATE(E$6,9,1)</f>
        <v>44805</v>
      </c>
      <c r="N29" s="36" cm="1">
        <f t="array" ref="N29">DATE(E$6,10,1)</f>
        <v>44835</v>
      </c>
      <c r="O29" s="36" cm="1">
        <f t="array" ref="O29">DATE(E$6,11,1)</f>
        <v>44866</v>
      </c>
      <c r="P29" s="36" cm="1">
        <f t="array" ref="P29">DATE(E$6,12,1)</f>
        <v>44896</v>
      </c>
      <c r="Q29" s="37" cm="1">
        <f t="array" ref="Q29">E$6</f>
        <v>2022</v>
      </c>
      <c r="R29" s="41"/>
      <c r="S29" s="36" cm="1">
        <f t="array" ref="S29">DATE(S$6,1,1)</f>
        <v>44927</v>
      </c>
      <c r="T29" s="36" cm="1">
        <f t="array" ref="T29">DATE(S$6,2,1)</f>
        <v>44958</v>
      </c>
      <c r="U29" s="36" cm="1">
        <f t="array" ref="U29">DATE(S$6,3,1)</f>
        <v>44986</v>
      </c>
      <c r="V29" s="36" cm="1">
        <f t="array" ref="V29">DATE(S$6,4,1)</f>
        <v>45017</v>
      </c>
      <c r="W29" s="36" cm="1">
        <f t="array" ref="W29">DATE(S$6,5,1)</f>
        <v>45047</v>
      </c>
      <c r="X29" s="36" cm="1">
        <f t="array" ref="X29">DATE(S$6,6,1)</f>
        <v>45078</v>
      </c>
      <c r="Y29" s="36" cm="1">
        <f t="array" ref="Y29">DATE(S$6,7,1)</f>
        <v>45108</v>
      </c>
      <c r="Z29" s="36" cm="1">
        <f t="array" ref="Z29">DATE(S$6,8,1)</f>
        <v>45139</v>
      </c>
      <c r="AA29" s="36" cm="1">
        <f t="array" ref="AA29">DATE(S$6,9,1)</f>
        <v>45170</v>
      </c>
      <c r="AB29" s="36" cm="1">
        <f t="array" ref="AB29">DATE(S$6,10,1)</f>
        <v>45200</v>
      </c>
      <c r="AC29" s="36" cm="1">
        <f t="array" ref="AC29">DATE(S$6,11,1)</f>
        <v>45231</v>
      </c>
      <c r="AD29" s="36" cm="1">
        <f t="array" ref="AD29">DATE(S$6,12,1)</f>
        <v>45261</v>
      </c>
      <c r="AE29" s="37" cm="1">
        <f t="array" ref="AE29">S$6</f>
        <v>2023</v>
      </c>
      <c r="AF29" s="41"/>
      <c r="AG29" s="36" cm="1">
        <f t="array" ref="AG29">DATE(AG$6,1,1)</f>
        <v>45292</v>
      </c>
      <c r="AH29" s="36" cm="1">
        <f t="array" ref="AH29">DATE(AG$6,2,1)</f>
        <v>45323</v>
      </c>
      <c r="AI29" s="36" cm="1">
        <f t="array" ref="AI29">DATE(AG$6,3,1)</f>
        <v>45352</v>
      </c>
      <c r="AJ29" s="36" cm="1">
        <f t="array" ref="AJ29">DATE(AG$6,4,1)</f>
        <v>45383</v>
      </c>
      <c r="AK29" s="36" cm="1">
        <f t="array" ref="AK29">DATE(AG$6,5,1)</f>
        <v>45413</v>
      </c>
      <c r="AL29" s="36" cm="1">
        <f t="array" ref="AL29">DATE(AG$6,6,1)</f>
        <v>45444</v>
      </c>
      <c r="AM29" s="36" cm="1">
        <f t="array" ref="AM29">DATE(AG$6,7,1)</f>
        <v>45474</v>
      </c>
      <c r="AN29" s="36" cm="1">
        <f t="array" ref="AN29">DATE(AG$6,8,1)</f>
        <v>45505</v>
      </c>
      <c r="AO29" s="36" cm="1">
        <f t="array" ref="AO29">DATE(AG$6,9,1)</f>
        <v>45536</v>
      </c>
      <c r="AP29" s="36" cm="1">
        <f t="array" ref="AP29">DATE(AG$6,10,1)</f>
        <v>45566</v>
      </c>
      <c r="AQ29" s="36" cm="1">
        <f t="array" ref="AQ29">DATE(AG$6,11,1)</f>
        <v>45597</v>
      </c>
      <c r="AR29" s="36" cm="1">
        <f t="array" ref="AR29">DATE(AG$6,12,1)</f>
        <v>45627</v>
      </c>
      <c r="AS29" s="37" cm="1">
        <f t="array" ref="AS29">AG$6</f>
        <v>2024</v>
      </c>
      <c r="AT29" s="41"/>
      <c r="AU29" s="36" cm="1">
        <f t="array" ref="AU29">DATE(AU$6,1,1)</f>
        <v>45658</v>
      </c>
      <c r="AV29" s="36" cm="1">
        <f t="array" ref="AV29">DATE(AU$6,2,1)</f>
        <v>45689</v>
      </c>
      <c r="AW29" s="36" cm="1">
        <f t="array" ref="AW29">DATE(AU$6,3,1)</f>
        <v>45717</v>
      </c>
      <c r="AX29" s="36" cm="1">
        <f t="array" ref="AX29">DATE(AU$6,4,1)</f>
        <v>45748</v>
      </c>
      <c r="AY29" s="36" cm="1">
        <f t="array" ref="AY29">DATE(AU$6,5,1)</f>
        <v>45778</v>
      </c>
      <c r="AZ29" s="36" cm="1">
        <f t="array" ref="AZ29">DATE(AU$6,6,1)</f>
        <v>45809</v>
      </c>
      <c r="BA29" s="36" cm="1">
        <f t="array" ref="BA29">DATE(AU$6,7,1)</f>
        <v>45839</v>
      </c>
      <c r="BB29" s="36" cm="1">
        <f t="array" ref="BB29">DATE(AU$6,8,1)</f>
        <v>45870</v>
      </c>
      <c r="BC29" s="36" cm="1">
        <f t="array" ref="BC29">DATE(AU$6,9,1)</f>
        <v>45901</v>
      </c>
      <c r="BD29" s="36" cm="1">
        <f t="array" ref="BD29">DATE(AU$6,10,1)</f>
        <v>45931</v>
      </c>
      <c r="BE29" s="36" cm="1">
        <f t="array" ref="BE29">DATE(AU$6,11,1)</f>
        <v>45962</v>
      </c>
      <c r="BF29" s="36" cm="1">
        <f t="array" ref="BF29">DATE(AU$6,12,1)</f>
        <v>45992</v>
      </c>
      <c r="BG29" s="37" cm="1">
        <f t="array" ref="BG29">AU$6</f>
        <v>2025</v>
      </c>
      <c r="BH29" s="41"/>
      <c r="BI29" s="36" cm="1">
        <f t="array" ref="BI29">DATE(BI$6,1,1)</f>
        <v>46023</v>
      </c>
      <c r="BJ29" s="36" cm="1">
        <f t="array" ref="BJ29">DATE(BI$6,2,1)</f>
        <v>46054</v>
      </c>
      <c r="BK29" s="36" cm="1">
        <f t="array" ref="BK29">DATE(BI$6,3,1)</f>
        <v>46082</v>
      </c>
      <c r="BL29" s="36" cm="1">
        <f t="array" ref="BL29">DATE(BI$6,4,1)</f>
        <v>46113</v>
      </c>
      <c r="BM29" s="36" cm="1">
        <f t="array" ref="BM29">DATE(BI$6,5,1)</f>
        <v>46143</v>
      </c>
      <c r="BN29" s="36" cm="1">
        <f t="array" ref="BN29">DATE(BI$6,6,1)</f>
        <v>46174</v>
      </c>
      <c r="BO29" s="36" cm="1">
        <f t="array" ref="BO29">DATE(BI$6,7,1)</f>
        <v>46204</v>
      </c>
      <c r="BP29" s="36" cm="1">
        <f t="array" ref="BP29">DATE(BI$6,8,1)</f>
        <v>46235</v>
      </c>
      <c r="BQ29" s="36" cm="1">
        <f t="array" ref="BQ29">DATE(BI$6,9,1)</f>
        <v>46266</v>
      </c>
      <c r="BR29" s="36" cm="1">
        <f t="array" ref="BR29">DATE(BI$6,10,1)</f>
        <v>46296</v>
      </c>
      <c r="BS29" s="36" cm="1">
        <f t="array" ref="BS29">DATE(BI$6,11,1)</f>
        <v>46327</v>
      </c>
      <c r="BT29" s="36" cm="1">
        <f t="array" ref="BT29">DATE(BI$6,12,1)</f>
        <v>46357</v>
      </c>
      <c r="BU29" s="37" cm="1">
        <f t="array" ref="BU29">BI$6</f>
        <v>2026</v>
      </c>
      <c r="BV29" s="41"/>
      <c r="BW29" s="36" cm="1">
        <f t="array" ref="BW29">DATE(BW$6,1,1)</f>
        <v>46388</v>
      </c>
      <c r="BX29" s="36" cm="1">
        <f t="array" ref="BX29">DATE(BW$6,2,1)</f>
        <v>46419</v>
      </c>
      <c r="BY29" s="36" cm="1">
        <f t="array" ref="BY29">DATE(BW$6,3,1)</f>
        <v>46447</v>
      </c>
      <c r="BZ29" s="36" cm="1">
        <f t="array" ref="BZ29">DATE(BW$6,4,1)</f>
        <v>46478</v>
      </c>
      <c r="CA29" s="36" cm="1">
        <f t="array" ref="CA29">DATE(BW$6,5,1)</f>
        <v>46508</v>
      </c>
      <c r="CB29" s="36" cm="1">
        <f t="array" ref="CB29">DATE(BW$6,6,1)</f>
        <v>46539</v>
      </c>
      <c r="CC29" s="36" cm="1">
        <f t="array" ref="CC29">DATE(BW$6,7,1)</f>
        <v>46569</v>
      </c>
      <c r="CD29" s="36" cm="1">
        <f t="array" ref="CD29">DATE(BW$6,8,1)</f>
        <v>46600</v>
      </c>
      <c r="CE29" s="36" cm="1">
        <f t="array" ref="CE29">DATE(BW$6,9,1)</f>
        <v>46631</v>
      </c>
      <c r="CF29" s="36" cm="1">
        <f t="array" ref="CF29">DATE(BW$6,10,1)</f>
        <v>46661</v>
      </c>
      <c r="CG29" s="36" cm="1">
        <f t="array" ref="CG29">DATE(BW$6,11,1)</f>
        <v>46692</v>
      </c>
      <c r="CH29" s="36" cm="1">
        <f t="array" ref="CH29">DATE(BW$6,12,1)</f>
        <v>46722</v>
      </c>
      <c r="CI29" s="37" cm="1">
        <f t="array" ref="CI29">BW$6</f>
        <v>2027</v>
      </c>
      <c r="CJ29" s="41"/>
      <c r="CK29" s="36" cm="1">
        <f t="array" ref="CK29">DATE(CK$6,1,1)</f>
        <v>46753</v>
      </c>
      <c r="CL29" s="36" cm="1">
        <f t="array" ref="CL29">DATE(CK$6,2,1)</f>
        <v>46784</v>
      </c>
      <c r="CM29" s="36" cm="1">
        <f t="array" ref="CM29">DATE(CK$6,3,1)</f>
        <v>46813</v>
      </c>
      <c r="CN29" s="36" cm="1">
        <f t="array" ref="CN29">DATE(CK$6,4,1)</f>
        <v>46844</v>
      </c>
      <c r="CO29" s="36" cm="1">
        <f t="array" ref="CO29">DATE(CK$6,5,1)</f>
        <v>46874</v>
      </c>
      <c r="CP29" s="36" cm="1">
        <f t="array" ref="CP29">DATE(CK$6,6,1)</f>
        <v>46905</v>
      </c>
      <c r="CQ29" s="36" cm="1">
        <f t="array" ref="CQ29">DATE(CK$6,7,1)</f>
        <v>46935</v>
      </c>
      <c r="CR29" s="36" cm="1">
        <f t="array" ref="CR29">DATE(CK$6,8,1)</f>
        <v>46966</v>
      </c>
      <c r="CS29" s="36" cm="1">
        <f t="array" ref="CS29">DATE(CK$6,9,1)</f>
        <v>46997</v>
      </c>
      <c r="CT29" s="36" cm="1">
        <f t="array" ref="CT29">DATE(CK$6,10,1)</f>
        <v>47027</v>
      </c>
      <c r="CU29" s="36" cm="1">
        <f t="array" ref="CU29">DATE(CK$6,11,1)</f>
        <v>47058</v>
      </c>
      <c r="CV29" s="36" cm="1">
        <f t="array" ref="CV29">DATE(CK$6,12,1)</f>
        <v>47088</v>
      </c>
      <c r="CW29" s="37" cm="1">
        <f t="array" ref="CW29">CK$6</f>
        <v>2028</v>
      </c>
      <c r="CX29" s="41"/>
      <c r="CY29" s="36" cm="1">
        <f t="array" ref="CY29">DATE(CY$6,1,1)</f>
        <v>47119</v>
      </c>
      <c r="CZ29" s="36" cm="1">
        <f t="array" ref="CZ29">DATE(CY$6,2,1)</f>
        <v>47150</v>
      </c>
      <c r="DA29" s="36" cm="1">
        <f t="array" ref="DA29">DATE(CY$6,3,1)</f>
        <v>47178</v>
      </c>
      <c r="DB29" s="36" cm="1">
        <f t="array" ref="DB29">DATE(CY$6,4,1)</f>
        <v>47209</v>
      </c>
      <c r="DC29" s="36" cm="1">
        <f t="array" ref="DC29">DATE(CY$6,5,1)</f>
        <v>47239</v>
      </c>
      <c r="DD29" s="36" cm="1">
        <f t="array" ref="DD29">DATE(CY$6,6,1)</f>
        <v>47270</v>
      </c>
      <c r="DE29" s="36" cm="1">
        <f t="array" ref="DE29">DATE(CY$6,7,1)</f>
        <v>47300</v>
      </c>
      <c r="DF29" s="36" cm="1">
        <f t="array" ref="DF29">DATE(CY$6,8,1)</f>
        <v>47331</v>
      </c>
      <c r="DG29" s="36" cm="1">
        <f t="array" ref="DG29">DATE(CY$6,9,1)</f>
        <v>47362</v>
      </c>
      <c r="DH29" s="36" cm="1">
        <f t="array" ref="DH29">DATE(CY$6,10,1)</f>
        <v>47392</v>
      </c>
      <c r="DI29" s="36" cm="1">
        <f t="array" ref="DI29">DATE(CY$6,11,1)</f>
        <v>47423</v>
      </c>
      <c r="DJ29" s="36" cm="1">
        <f t="array" ref="DJ29">DATE(CY$6,12,1)</f>
        <v>47453</v>
      </c>
      <c r="DK29" s="37" cm="1">
        <f t="array" ref="DK29">CY$6</f>
        <v>2029</v>
      </c>
      <c r="DL29" s="41"/>
      <c r="DM29" s="36" cm="1">
        <f t="array" ref="DM29">DATE(DM$6,1,1)</f>
        <v>47484</v>
      </c>
      <c r="DN29" s="36" cm="1">
        <f t="array" ref="DN29">DATE(DM$6,2,1)</f>
        <v>47515</v>
      </c>
      <c r="DO29" s="36" cm="1">
        <f t="array" ref="DO29">DATE(DM$6,3,1)</f>
        <v>47543</v>
      </c>
      <c r="DP29" s="36" cm="1">
        <f t="array" ref="DP29">DATE(DM$6,4,1)</f>
        <v>47574</v>
      </c>
      <c r="DQ29" s="36" cm="1">
        <f t="array" ref="DQ29">DATE(DM$6,5,1)</f>
        <v>47604</v>
      </c>
      <c r="DR29" s="36" cm="1">
        <f t="array" ref="DR29">DATE(DM$6,6,1)</f>
        <v>47635</v>
      </c>
      <c r="DS29" s="36" cm="1">
        <f t="array" ref="DS29">DATE(DM$6,7,1)</f>
        <v>47665</v>
      </c>
      <c r="DT29" s="36" cm="1">
        <f t="array" ref="DT29">DATE(DM$6,8,1)</f>
        <v>47696</v>
      </c>
      <c r="DU29" s="36" cm="1">
        <f t="array" ref="DU29">DATE(DM$6,9,1)</f>
        <v>47727</v>
      </c>
      <c r="DV29" s="36" cm="1">
        <f t="array" ref="DV29">DATE(DM$6,10,1)</f>
        <v>47757</v>
      </c>
      <c r="DW29" s="36" cm="1">
        <f t="array" ref="DW29">DATE(DM$6,11,1)</f>
        <v>47788</v>
      </c>
      <c r="DX29" s="36" cm="1">
        <f t="array" ref="DX29">DATE(DM$6,12,1)</f>
        <v>47818</v>
      </c>
      <c r="DY29" s="37" cm="1">
        <f t="array" ref="DY29">DM$6</f>
        <v>2030</v>
      </c>
      <c r="DZ29" s="41"/>
      <c r="EA29" s="36" cm="1">
        <f t="array" ref="EA29">DATE(EA$6,1,1)</f>
        <v>47849</v>
      </c>
      <c r="EB29" s="36" cm="1">
        <f t="array" ref="EB29">DATE(EA$6,2,1)</f>
        <v>47880</v>
      </c>
      <c r="EC29" s="36" cm="1">
        <f t="array" ref="EC29">DATE(EA$6,3,1)</f>
        <v>47908</v>
      </c>
      <c r="ED29" s="36" cm="1">
        <f t="array" ref="ED29">DATE(EA$6,4,1)</f>
        <v>47939</v>
      </c>
      <c r="EE29" s="36" cm="1">
        <f t="array" ref="EE29">DATE(EA$6,5,1)</f>
        <v>47969</v>
      </c>
      <c r="EF29" s="36" cm="1">
        <f t="array" ref="EF29">DATE(EA$6,6,1)</f>
        <v>48000</v>
      </c>
      <c r="EG29" s="36" cm="1">
        <f t="array" ref="EG29">DATE(EA$6,7,1)</f>
        <v>48030</v>
      </c>
      <c r="EH29" s="36" cm="1">
        <f t="array" ref="EH29">DATE(EA$6,8,1)</f>
        <v>48061</v>
      </c>
      <c r="EI29" s="36" cm="1">
        <f t="array" ref="EI29">DATE(EA$6,9,1)</f>
        <v>48092</v>
      </c>
      <c r="EJ29" s="36" cm="1">
        <f t="array" ref="EJ29">DATE(EA$6,10,1)</f>
        <v>48122</v>
      </c>
      <c r="EK29" s="36" cm="1">
        <f t="array" ref="EK29">DATE(EA$6,11,1)</f>
        <v>48153</v>
      </c>
      <c r="EL29" s="36" cm="1">
        <f t="array" ref="EL29">DATE(EA$6,12,1)</f>
        <v>48183</v>
      </c>
      <c r="EM29" s="37" cm="1">
        <f t="array" ref="EM29">EA$6</f>
        <v>2031</v>
      </c>
      <c r="EN29" s="41"/>
      <c r="EO29" s="36" cm="1">
        <f t="array" ref="EO29">DATE(EO$6,1,1)</f>
        <v>48214</v>
      </c>
      <c r="EP29" s="36" cm="1">
        <f t="array" ref="EP29">DATE(EO$6,2,1)</f>
        <v>48245</v>
      </c>
      <c r="EQ29" s="36" cm="1">
        <f t="array" ref="EQ29">DATE(EO$6,3,1)</f>
        <v>48274</v>
      </c>
      <c r="ER29" s="36" cm="1">
        <f t="array" ref="ER29">DATE(EO$6,4,1)</f>
        <v>48305</v>
      </c>
      <c r="ES29" s="36" cm="1">
        <f t="array" ref="ES29">DATE(EO$6,5,1)</f>
        <v>48335</v>
      </c>
      <c r="ET29" s="36" cm="1">
        <f t="array" ref="ET29">DATE(EO$6,6,1)</f>
        <v>48366</v>
      </c>
      <c r="EU29" s="36" cm="1">
        <f t="array" ref="EU29">DATE(EO$6,7,1)</f>
        <v>48396</v>
      </c>
      <c r="EV29" s="36" cm="1">
        <f t="array" ref="EV29">DATE(EO$6,8,1)</f>
        <v>48427</v>
      </c>
      <c r="EW29" s="36" cm="1">
        <f t="array" ref="EW29">DATE(EO$6,9,1)</f>
        <v>48458</v>
      </c>
      <c r="EX29" s="36" cm="1">
        <f t="array" ref="EX29">DATE(EO$6,10,1)</f>
        <v>48488</v>
      </c>
      <c r="EY29" s="36" cm="1">
        <f t="array" ref="EY29">DATE(EO$6,11,1)</f>
        <v>48519</v>
      </c>
      <c r="EZ29" s="36" cm="1">
        <f t="array" ref="EZ29">DATE(EO$6,12,1)</f>
        <v>48549</v>
      </c>
      <c r="FA29" s="37" cm="1">
        <f t="array" ref="FA29">EO$6</f>
        <v>2032</v>
      </c>
      <c r="FB29" s="41"/>
    </row>
    <row r="30" spans="1:158" ht="16" customHeight="1" x14ac:dyDescent="0.2">
      <c r="C30" s="35" t="s">
        <v>12</v>
      </c>
      <c r="D30" s="22"/>
      <c r="E30" s="33">
        <v>6500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 cm="1">
        <f t="array" ref="Q30">SUM(E30:P30)</f>
        <v>6500</v>
      </c>
      <c r="R30" s="41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 cm="1">
        <f t="array" ref="AE30">SUM(S30:AD30)</f>
        <v>0</v>
      </c>
      <c r="AF30" s="41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 cm="1">
        <f t="array" ref="AS30">SUM(AG30:AR30)</f>
        <v>0</v>
      </c>
      <c r="AT30" s="41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 cm="1">
        <f t="array" ref="BG30">SUM(AU30:BF30)</f>
        <v>0</v>
      </c>
      <c r="BH30" s="41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 cm="1">
        <f t="array" ref="BU30">SUM(BI30:BT30)</f>
        <v>0</v>
      </c>
      <c r="BV30" s="41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 cm="1">
        <f t="array" ref="CI30">SUM(BW30:CH30)</f>
        <v>0</v>
      </c>
      <c r="CJ30" s="41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 cm="1">
        <f t="array" ref="CW30">SUM(CK30:CV30)</f>
        <v>0</v>
      </c>
      <c r="CX30" s="41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 cm="1">
        <f t="array" ref="DK30">SUM(CY30:DJ30)</f>
        <v>0</v>
      </c>
      <c r="DL30" s="41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 cm="1">
        <f t="array" ref="DY30">SUM(DM30:DX30)</f>
        <v>0</v>
      </c>
      <c r="DZ30" s="41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 cm="1">
        <f t="array" ref="EM30">SUM(EA30:EL30)</f>
        <v>0</v>
      </c>
      <c r="EN30" s="41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 cm="1">
        <f t="array" ref="FA30">SUM(EO30:EZ30)</f>
        <v>0</v>
      </c>
      <c r="FB30" s="41"/>
    </row>
    <row r="31" spans="1:158" ht="16" customHeight="1" x14ac:dyDescent="0.2">
      <c r="C31" s="35" t="s">
        <v>20</v>
      </c>
      <c r="D31" s="22"/>
      <c r="E31" s="33"/>
      <c r="F31" s="33"/>
      <c r="G31" s="33">
        <v>6612</v>
      </c>
      <c r="H31" s="33"/>
      <c r="I31" s="33"/>
      <c r="J31" s="33"/>
      <c r="K31" s="33"/>
      <c r="L31" s="33"/>
      <c r="M31" s="33"/>
      <c r="N31" s="33"/>
      <c r="O31" s="33"/>
      <c r="P31" s="33"/>
      <c r="Q31" s="33" cm="1">
        <f t="array" ref="Q31">SUM(E31:P31)</f>
        <v>6612</v>
      </c>
      <c r="R31" s="41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 cm="1">
        <f t="array" ref="AE31">SUM(S31:AD31)</f>
        <v>0</v>
      </c>
      <c r="AF31" s="41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 cm="1">
        <f t="array" ref="AS31">SUM(AG31:AR31)</f>
        <v>0</v>
      </c>
      <c r="AT31" s="41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 cm="1">
        <f t="array" ref="BG31">SUM(AU31:BF31)</f>
        <v>0</v>
      </c>
      <c r="BH31" s="41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 cm="1">
        <f t="array" ref="BU31">SUM(BI31:BT31)</f>
        <v>0</v>
      </c>
      <c r="BV31" s="41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 cm="1">
        <f t="array" ref="CI31">SUM(BW31:CH31)</f>
        <v>0</v>
      </c>
      <c r="CJ31" s="41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 cm="1">
        <f t="array" ref="CW31">SUM(CK31:CV31)</f>
        <v>0</v>
      </c>
      <c r="CX31" s="41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 cm="1">
        <f t="array" ref="DK31">SUM(CY31:DJ31)</f>
        <v>0</v>
      </c>
      <c r="DL31" s="41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 cm="1">
        <f t="array" ref="DY31">SUM(DM31:DX31)</f>
        <v>0</v>
      </c>
      <c r="DZ31" s="41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 cm="1">
        <f t="array" ref="EM31">SUM(EA31:EL31)</f>
        <v>0</v>
      </c>
      <c r="EN31" s="41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 cm="1">
        <f t="array" ref="FA31">SUM(EO31:EZ31)</f>
        <v>0</v>
      </c>
      <c r="FB31" s="41"/>
    </row>
    <row r="32" spans="1:158" ht="16" customHeight="1" x14ac:dyDescent="0.2">
      <c r="C32" s="35" t="s">
        <v>13</v>
      </c>
      <c r="D32" s="22"/>
      <c r="E32" s="33"/>
      <c r="F32" s="33"/>
      <c r="G32" s="33"/>
      <c r="H32" s="33"/>
      <c r="I32" s="33">
        <v>15531</v>
      </c>
      <c r="J32" s="33"/>
      <c r="K32" s="33"/>
      <c r="L32" s="33"/>
      <c r="M32" s="33"/>
      <c r="N32" s="33"/>
      <c r="O32" s="33"/>
      <c r="P32" s="33"/>
      <c r="Q32" s="33" cm="1">
        <f t="array" ref="Q32">SUM(E32:P32)</f>
        <v>15531</v>
      </c>
      <c r="R32" s="41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 cm="1">
        <f t="array" ref="AE32">SUM(S32:AD32)</f>
        <v>0</v>
      </c>
      <c r="AF32" s="41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 cm="1">
        <f t="array" ref="AS32">SUM(AG32:AR32)</f>
        <v>0</v>
      </c>
      <c r="AT32" s="41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 cm="1">
        <f t="array" ref="BG32">SUM(AU32:BF32)</f>
        <v>0</v>
      </c>
      <c r="BH32" s="41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 cm="1">
        <f t="array" ref="BU32">SUM(BI32:BT32)</f>
        <v>0</v>
      </c>
      <c r="BV32" s="41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 cm="1">
        <f t="array" ref="CI32">SUM(BW32:CH32)</f>
        <v>0</v>
      </c>
      <c r="CJ32" s="41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 cm="1">
        <f t="array" ref="CW32">SUM(CK32:CV32)</f>
        <v>0</v>
      </c>
      <c r="CX32" s="41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 cm="1">
        <f t="array" ref="DK32">SUM(CY32:DJ32)</f>
        <v>0</v>
      </c>
      <c r="DL32" s="41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 cm="1">
        <f t="array" ref="DY32">SUM(DM32:DX32)</f>
        <v>0</v>
      </c>
      <c r="DZ32" s="41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 cm="1">
        <f t="array" ref="EM32">SUM(EA32:EL32)</f>
        <v>0</v>
      </c>
      <c r="EN32" s="41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 cm="1">
        <f t="array" ref="FA32">SUM(EO32:EZ32)</f>
        <v>0</v>
      </c>
      <c r="FB32" s="41"/>
    </row>
    <row r="33" spans="3:158" ht="16" customHeight="1" x14ac:dyDescent="0.2">
      <c r="C33" s="32" t="s">
        <v>25</v>
      </c>
      <c r="D33" s="23"/>
      <c r="E33" s="33"/>
      <c r="F33" s="33"/>
      <c r="G33" s="33"/>
      <c r="H33" s="33"/>
      <c r="I33" s="33"/>
      <c r="J33" s="33">
        <v>513</v>
      </c>
      <c r="K33" s="33"/>
      <c r="L33" s="33"/>
      <c r="M33" s="33"/>
      <c r="N33" s="33"/>
      <c r="O33" s="33"/>
      <c r="P33" s="33"/>
      <c r="Q33" s="33" cm="1">
        <f t="array" ref="Q33">SUM(E33:P33)</f>
        <v>513</v>
      </c>
      <c r="R33" s="41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 cm="1">
        <f t="array" ref="AE33">SUM(S33:AD33)</f>
        <v>0</v>
      </c>
      <c r="AF33" s="41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 cm="1">
        <f t="array" ref="AS33">SUM(AG33:AR33)</f>
        <v>0</v>
      </c>
      <c r="AT33" s="41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 cm="1">
        <f t="array" ref="BG33">SUM(AU33:BF33)</f>
        <v>0</v>
      </c>
      <c r="BH33" s="41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 cm="1">
        <f t="array" ref="BU33">SUM(BI33:BT33)</f>
        <v>0</v>
      </c>
      <c r="BV33" s="41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 cm="1">
        <f t="array" ref="CI33">SUM(BW33:CH33)</f>
        <v>0</v>
      </c>
      <c r="CJ33" s="41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 cm="1">
        <f t="array" ref="CW33">SUM(CK33:CV33)</f>
        <v>0</v>
      </c>
      <c r="CX33" s="41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 cm="1">
        <f t="array" ref="DK33">SUM(CY33:DJ33)</f>
        <v>0</v>
      </c>
      <c r="DL33" s="41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 cm="1">
        <f t="array" ref="DY33">SUM(DM33:DX33)</f>
        <v>0</v>
      </c>
      <c r="DZ33" s="41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 cm="1">
        <f t="array" ref="EM33">SUM(EA33:EL33)</f>
        <v>0</v>
      </c>
      <c r="EN33" s="41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 cm="1">
        <f t="array" ref="FA33">SUM(EO33:EZ33)</f>
        <v>0</v>
      </c>
      <c r="FB33" s="41"/>
    </row>
    <row r="34" spans="3:158" ht="16" customHeight="1" x14ac:dyDescent="0.2">
      <c r="C34" s="32" t="s">
        <v>22</v>
      </c>
      <c r="D34" s="2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 cm="1">
        <f t="array" ref="Q34">SUM(E34:P34)</f>
        <v>0</v>
      </c>
      <c r="R34" s="41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 cm="1">
        <f t="array" ref="AE34">SUM(S34:AD34)</f>
        <v>0</v>
      </c>
      <c r="AF34" s="41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 cm="1">
        <f t="array" ref="AS34">SUM(AG34:AR34)</f>
        <v>0</v>
      </c>
      <c r="AT34" s="41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 cm="1">
        <f t="array" ref="BG34">SUM(AU34:BF34)</f>
        <v>0</v>
      </c>
      <c r="BH34" s="41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 cm="1">
        <f t="array" ref="BU34">SUM(BI34:BT34)</f>
        <v>0</v>
      </c>
      <c r="BV34" s="41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 cm="1">
        <f t="array" ref="CI34">SUM(BW34:CH34)</f>
        <v>0</v>
      </c>
      <c r="CJ34" s="41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 cm="1">
        <f t="array" ref="CW34">SUM(CK34:CV34)</f>
        <v>0</v>
      </c>
      <c r="CX34" s="41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 cm="1">
        <f t="array" ref="DK34">SUM(CY34:DJ34)</f>
        <v>0</v>
      </c>
      <c r="DL34" s="41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 cm="1">
        <f t="array" ref="DY34">SUM(DM34:DX34)</f>
        <v>0</v>
      </c>
      <c r="DZ34" s="41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 cm="1">
        <f t="array" ref="EM34">SUM(EA34:EL34)</f>
        <v>0</v>
      </c>
      <c r="EN34" s="41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 cm="1">
        <f t="array" ref="FA34">SUM(EO34:EZ34)</f>
        <v>0</v>
      </c>
      <c r="FB34" s="41"/>
    </row>
    <row r="35" spans="3:158" ht="16" customHeight="1" x14ac:dyDescent="0.2">
      <c r="C35" s="32" t="s">
        <v>26</v>
      </c>
      <c r="D35" s="2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 cm="1">
        <f t="array" ref="Q35">SUM(E35:P35)</f>
        <v>0</v>
      </c>
      <c r="R35" s="41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 cm="1">
        <f t="array" ref="AE35">SUM(S35:AD35)</f>
        <v>0</v>
      </c>
      <c r="AF35" s="41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 cm="1">
        <f t="array" ref="AS35">SUM(AG35:AR35)</f>
        <v>0</v>
      </c>
      <c r="AT35" s="41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 cm="1">
        <f t="array" ref="BG35">SUM(AU35:BF35)</f>
        <v>0</v>
      </c>
      <c r="BH35" s="41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 cm="1">
        <f t="array" ref="BU35">SUM(BI35:BT35)</f>
        <v>0</v>
      </c>
      <c r="BV35" s="41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 cm="1">
        <f t="array" ref="CI35">SUM(BW35:CH35)</f>
        <v>0</v>
      </c>
      <c r="CJ35" s="41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 cm="1">
        <f t="array" ref="CW35">SUM(CK35:CV35)</f>
        <v>0</v>
      </c>
      <c r="CX35" s="41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 cm="1">
        <f t="array" ref="DK35">SUM(CY35:DJ35)</f>
        <v>0</v>
      </c>
      <c r="DL35" s="41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 cm="1">
        <f t="array" ref="DY35">SUM(DM35:DX35)</f>
        <v>0</v>
      </c>
      <c r="DZ35" s="41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 cm="1">
        <f t="array" ref="EM35">SUM(EA35:EL35)</f>
        <v>0</v>
      </c>
      <c r="EN35" s="41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 cm="1">
        <f t="array" ref="FA35">SUM(EO35:EZ35)</f>
        <v>0</v>
      </c>
      <c r="FB35" s="41"/>
    </row>
    <row r="36" spans="3:158" ht="16" customHeight="1" x14ac:dyDescent="0.2">
      <c r="C36" s="32" t="s">
        <v>27</v>
      </c>
      <c r="D36" s="2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 cm="1">
        <f t="array" ref="Q36">SUM(E36:P36)</f>
        <v>0</v>
      </c>
      <c r="R36" s="41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 cm="1">
        <f t="array" ref="AE36">SUM(S36:AD36)</f>
        <v>0</v>
      </c>
      <c r="AF36" s="41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 cm="1">
        <f t="array" ref="AS36">SUM(AG36:AR36)</f>
        <v>0</v>
      </c>
      <c r="AT36" s="41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 cm="1">
        <f t="array" ref="BG36">SUM(AU36:BF36)</f>
        <v>0</v>
      </c>
      <c r="BH36" s="41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 cm="1">
        <f t="array" ref="BU36">SUM(BI36:BT36)</f>
        <v>0</v>
      </c>
      <c r="BV36" s="41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 cm="1">
        <f t="array" ref="CI36">SUM(BW36:CH36)</f>
        <v>0</v>
      </c>
      <c r="CJ36" s="41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 cm="1">
        <f t="array" ref="CW36">SUM(CK36:CV36)</f>
        <v>0</v>
      </c>
      <c r="CX36" s="41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 cm="1">
        <f t="array" ref="DK36">SUM(CY36:DJ36)</f>
        <v>0</v>
      </c>
      <c r="DL36" s="41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 cm="1">
        <f t="array" ref="DY36">SUM(DM36:DX36)</f>
        <v>0</v>
      </c>
      <c r="DZ36" s="41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 cm="1">
        <f t="array" ref="EM36">SUM(EA36:EL36)</f>
        <v>0</v>
      </c>
      <c r="EN36" s="41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 cm="1">
        <f t="array" ref="FA36">SUM(EO36:EZ36)</f>
        <v>0</v>
      </c>
      <c r="FB36" s="41"/>
    </row>
    <row r="37" spans="3:158" ht="16" customHeight="1" x14ac:dyDescent="0.2">
      <c r="C37" s="32" t="s">
        <v>28</v>
      </c>
      <c r="D37" s="2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 cm="1">
        <f t="array" ref="Q37">SUM(E37:P37)</f>
        <v>0</v>
      </c>
      <c r="R37" s="41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 cm="1">
        <f t="array" ref="AE37">SUM(S37:AD37)</f>
        <v>0</v>
      </c>
      <c r="AF37" s="41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 cm="1">
        <f t="array" ref="AS37">SUM(AG37:AR37)</f>
        <v>0</v>
      </c>
      <c r="AT37" s="41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 cm="1">
        <f t="array" ref="BG37">SUM(AU37:BF37)</f>
        <v>0</v>
      </c>
      <c r="BH37" s="41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 cm="1">
        <f t="array" ref="BU37">SUM(BI37:BT37)</f>
        <v>0</v>
      </c>
      <c r="BV37" s="41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 cm="1">
        <f t="array" ref="CI37">SUM(BW37:CH37)</f>
        <v>0</v>
      </c>
      <c r="CJ37" s="41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 cm="1">
        <f t="array" ref="CW37">SUM(CK37:CV37)</f>
        <v>0</v>
      </c>
      <c r="CX37" s="41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 cm="1">
        <f t="array" ref="DK37">SUM(CY37:DJ37)</f>
        <v>0</v>
      </c>
      <c r="DL37" s="41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 cm="1">
        <f t="array" ref="DY37">SUM(DM37:DX37)</f>
        <v>0</v>
      </c>
      <c r="DZ37" s="41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 cm="1">
        <f t="array" ref="EM37">SUM(EA37:EL37)</f>
        <v>0</v>
      </c>
      <c r="EN37" s="41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 cm="1">
        <f t="array" ref="FA37">SUM(EO37:EZ37)</f>
        <v>0</v>
      </c>
      <c r="FB37" s="41"/>
    </row>
    <row r="38" spans="3:158" ht="16" customHeight="1" x14ac:dyDescent="0.2">
      <c r="C38" s="32" t="s">
        <v>29</v>
      </c>
      <c r="D38" s="2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 cm="1">
        <f t="array" ref="Q38">SUM(E38:P38)</f>
        <v>0</v>
      </c>
      <c r="R38" s="41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 cm="1">
        <f t="array" ref="AE38">SUM(S38:AD38)</f>
        <v>0</v>
      </c>
      <c r="AF38" s="41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 cm="1">
        <f t="array" ref="AS38">SUM(AG38:AR38)</f>
        <v>0</v>
      </c>
      <c r="AT38" s="41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 cm="1">
        <f t="array" ref="BG38">SUM(AU38:BF38)</f>
        <v>0</v>
      </c>
      <c r="BH38" s="41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 cm="1">
        <f t="array" ref="BU38">SUM(BI38:BT38)</f>
        <v>0</v>
      </c>
      <c r="BV38" s="41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 cm="1">
        <f t="array" ref="CI38">SUM(BW38:CH38)</f>
        <v>0</v>
      </c>
      <c r="CJ38" s="41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 cm="1">
        <f t="array" ref="CW38">SUM(CK38:CV38)</f>
        <v>0</v>
      </c>
      <c r="CX38" s="41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 cm="1">
        <f t="array" ref="DK38">SUM(CY38:DJ38)</f>
        <v>0</v>
      </c>
      <c r="DL38" s="41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 cm="1">
        <f t="array" ref="DY38">SUM(DM38:DX38)</f>
        <v>0</v>
      </c>
      <c r="DZ38" s="41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 cm="1">
        <f t="array" ref="EM38">SUM(EA38:EL38)</f>
        <v>0</v>
      </c>
      <c r="EN38" s="41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 cm="1">
        <f t="array" ref="FA38">SUM(EO38:EZ38)</f>
        <v>0</v>
      </c>
      <c r="FB38" s="41"/>
    </row>
    <row r="39" spans="3:158" ht="16" customHeight="1" x14ac:dyDescent="0.2">
      <c r="C39" s="32" t="s">
        <v>30</v>
      </c>
      <c r="D39" s="2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 cm="1">
        <f t="array" ref="Q39">SUM(E39:P39)</f>
        <v>0</v>
      </c>
      <c r="R39" s="41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 cm="1">
        <f t="array" ref="AE39">SUM(S39:AD39)</f>
        <v>0</v>
      </c>
      <c r="AF39" s="41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 cm="1">
        <f t="array" ref="AS39">SUM(AG39:AR39)</f>
        <v>0</v>
      </c>
      <c r="AT39" s="41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 cm="1">
        <f t="array" ref="BG39">SUM(AU39:BF39)</f>
        <v>0</v>
      </c>
      <c r="BH39" s="41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 cm="1">
        <f t="array" ref="BU39">SUM(BI39:BT39)</f>
        <v>0</v>
      </c>
      <c r="BV39" s="41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 cm="1">
        <f t="array" ref="CI39">SUM(BW39:CH39)</f>
        <v>0</v>
      </c>
      <c r="CJ39" s="41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 cm="1">
        <f t="array" ref="CW39">SUM(CK39:CV39)</f>
        <v>0</v>
      </c>
      <c r="CX39" s="41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 cm="1">
        <f t="array" ref="DK39">SUM(CY39:DJ39)</f>
        <v>0</v>
      </c>
      <c r="DL39" s="41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 cm="1">
        <f t="array" ref="DY39">SUM(DM39:DX39)</f>
        <v>0</v>
      </c>
      <c r="DZ39" s="41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 cm="1">
        <f t="array" ref="EM39">SUM(EA39:EL39)</f>
        <v>0</v>
      </c>
      <c r="EN39" s="41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 cm="1">
        <f t="array" ref="FA39">SUM(EO39:EZ39)</f>
        <v>0</v>
      </c>
      <c r="FB39" s="41"/>
    </row>
    <row r="40" spans="3:158" ht="16" customHeight="1" x14ac:dyDescent="0.2">
      <c r="C40" s="32" t="s">
        <v>31</v>
      </c>
      <c r="D40" s="2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 cm="1">
        <f t="array" ref="Q40">SUM(E40:P40)</f>
        <v>0</v>
      </c>
      <c r="R40" s="41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 cm="1">
        <f t="array" ref="AE40">SUM(S40:AD40)</f>
        <v>0</v>
      </c>
      <c r="AF40" s="41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 cm="1">
        <f t="array" ref="AS40">SUM(AG40:AR40)</f>
        <v>0</v>
      </c>
      <c r="AT40" s="41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 cm="1">
        <f t="array" ref="BG40">SUM(AU40:BF40)</f>
        <v>0</v>
      </c>
      <c r="BH40" s="41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 cm="1">
        <f t="array" ref="BU40">SUM(BI40:BT40)</f>
        <v>0</v>
      </c>
      <c r="BV40" s="41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 cm="1">
        <f t="array" ref="CI40">SUM(BW40:CH40)</f>
        <v>0</v>
      </c>
      <c r="CJ40" s="41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 cm="1">
        <f t="array" ref="CW40">SUM(CK40:CV40)</f>
        <v>0</v>
      </c>
      <c r="CX40" s="41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 cm="1">
        <f t="array" ref="DK40">SUM(CY40:DJ40)</f>
        <v>0</v>
      </c>
      <c r="DL40" s="41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 cm="1">
        <f t="array" ref="DY40">SUM(DM40:DX40)</f>
        <v>0</v>
      </c>
      <c r="DZ40" s="41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 cm="1">
        <f t="array" ref="EM40">SUM(EA40:EL40)</f>
        <v>0</v>
      </c>
      <c r="EN40" s="41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 cm="1">
        <f t="array" ref="FA40">SUM(EO40:EZ40)</f>
        <v>0</v>
      </c>
      <c r="FB40" s="41"/>
    </row>
    <row r="41" spans="3:158" ht="16" customHeight="1" x14ac:dyDescent="0.2">
      <c r="C41" s="32" t="s">
        <v>32</v>
      </c>
      <c r="D41" s="2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 cm="1">
        <f t="array" ref="Q41">SUM(E41:P41)</f>
        <v>0</v>
      </c>
      <c r="R41" s="41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 cm="1">
        <f t="array" ref="AE41">SUM(S41:AD41)</f>
        <v>0</v>
      </c>
      <c r="AF41" s="41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 cm="1">
        <f t="array" ref="AS41">SUM(AG41:AR41)</f>
        <v>0</v>
      </c>
      <c r="AT41" s="41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 cm="1">
        <f t="array" ref="BG41">SUM(AU41:BF41)</f>
        <v>0</v>
      </c>
      <c r="BH41" s="41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 cm="1">
        <f t="array" ref="BU41">SUM(BI41:BT41)</f>
        <v>0</v>
      </c>
      <c r="BV41" s="41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 cm="1">
        <f t="array" ref="CI41">SUM(BW41:CH41)</f>
        <v>0</v>
      </c>
      <c r="CJ41" s="41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 cm="1">
        <f t="array" ref="CW41">SUM(CK41:CV41)</f>
        <v>0</v>
      </c>
      <c r="CX41" s="41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 cm="1">
        <f t="array" ref="DK41">SUM(CY41:DJ41)</f>
        <v>0</v>
      </c>
      <c r="DL41" s="41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 cm="1">
        <f t="array" ref="DY41">SUM(DM41:DX41)</f>
        <v>0</v>
      </c>
      <c r="DZ41" s="41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 cm="1">
        <f t="array" ref="EM41">SUM(EA41:EL41)</f>
        <v>0</v>
      </c>
      <c r="EN41" s="41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 cm="1">
        <f t="array" ref="FA41">SUM(EO41:EZ41)</f>
        <v>0</v>
      </c>
      <c r="FB41" s="41"/>
    </row>
    <row r="42" spans="3:158" ht="16" hidden="1" customHeight="1" x14ac:dyDescent="0.2">
      <c r="C42" s="32" t="s">
        <v>9</v>
      </c>
      <c r="D42" s="2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 cm="1">
        <f t="array" ref="Q42">SUM(E42:P42)</f>
        <v>0</v>
      </c>
      <c r="R42" s="41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 cm="1">
        <f t="array" ref="AE42">SUM(S42:AD42)</f>
        <v>0</v>
      </c>
      <c r="AF42" s="41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 cm="1">
        <f t="array" ref="AS42">SUM(AG42:AR42)</f>
        <v>0</v>
      </c>
      <c r="AT42" s="41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 cm="1">
        <f t="array" ref="BG42">SUM(AU42:BF42)</f>
        <v>0</v>
      </c>
      <c r="BH42" s="41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 cm="1">
        <f t="array" ref="BU42">SUM(BI42:BT42)</f>
        <v>0</v>
      </c>
      <c r="BV42" s="41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 cm="1">
        <f t="array" ref="CI42">SUM(BW42:CH42)</f>
        <v>0</v>
      </c>
      <c r="CJ42" s="41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 cm="1">
        <f t="array" ref="CW42">SUM(CK42:CV42)</f>
        <v>0</v>
      </c>
      <c r="CX42" s="41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 cm="1">
        <f t="array" ref="DK42">SUM(CY42:DJ42)</f>
        <v>0</v>
      </c>
      <c r="DL42" s="41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 cm="1">
        <f t="array" ref="DY42">SUM(DM42:DX42)</f>
        <v>0</v>
      </c>
      <c r="DZ42" s="41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 cm="1">
        <f t="array" ref="EM42">SUM(EA42:EL42)</f>
        <v>0</v>
      </c>
      <c r="EN42" s="41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 cm="1">
        <f t="array" ref="FA42">SUM(EO42:EZ42)</f>
        <v>0</v>
      </c>
      <c r="FB42" s="41"/>
    </row>
    <row r="43" spans="3:158" ht="16" hidden="1" customHeight="1" x14ac:dyDescent="0.2">
      <c r="C43" s="32" t="s">
        <v>9</v>
      </c>
      <c r="D43" s="2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 cm="1">
        <f t="array" ref="Q43">SUM(E43:P43)</f>
        <v>0</v>
      </c>
      <c r="R43" s="41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 cm="1">
        <f t="array" ref="AE43">SUM(S43:AD43)</f>
        <v>0</v>
      </c>
      <c r="AF43" s="41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 cm="1">
        <f t="array" ref="AS43">SUM(AG43:AR43)</f>
        <v>0</v>
      </c>
      <c r="AT43" s="41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 cm="1">
        <f t="array" ref="BG43">SUM(AU43:BF43)</f>
        <v>0</v>
      </c>
      <c r="BH43" s="41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 cm="1">
        <f t="array" ref="BU43">SUM(BI43:BT43)</f>
        <v>0</v>
      </c>
      <c r="BV43" s="41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 cm="1">
        <f t="array" ref="CI43">SUM(BW43:CH43)</f>
        <v>0</v>
      </c>
      <c r="CJ43" s="41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 cm="1">
        <f t="array" ref="CW43">SUM(CK43:CV43)</f>
        <v>0</v>
      </c>
      <c r="CX43" s="41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 cm="1">
        <f t="array" ref="DK43">SUM(CY43:DJ43)</f>
        <v>0</v>
      </c>
      <c r="DL43" s="41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 cm="1">
        <f t="array" ref="DY43">SUM(DM43:DX43)</f>
        <v>0</v>
      </c>
      <c r="DZ43" s="41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 cm="1">
        <f t="array" ref="EM43">SUM(EA43:EL43)</f>
        <v>0</v>
      </c>
      <c r="EN43" s="41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 cm="1">
        <f t="array" ref="FA43">SUM(EO43:EZ43)</f>
        <v>0</v>
      </c>
      <c r="FB43" s="41"/>
    </row>
    <row r="44" spans="3:158" ht="16" hidden="1" customHeight="1" x14ac:dyDescent="0.2">
      <c r="C44" s="32" t="s">
        <v>9</v>
      </c>
      <c r="D44" s="2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 cm="1">
        <f t="array" ref="Q44">SUM(E44:P44)</f>
        <v>0</v>
      </c>
      <c r="R44" s="41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 cm="1">
        <f t="array" ref="AE44">SUM(S44:AD44)</f>
        <v>0</v>
      </c>
      <c r="AF44" s="41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 cm="1">
        <f t="array" ref="AS44">SUM(AG44:AR44)</f>
        <v>0</v>
      </c>
      <c r="AT44" s="41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 cm="1">
        <f t="array" ref="BG44">SUM(AU44:BF44)</f>
        <v>0</v>
      </c>
      <c r="BH44" s="41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 cm="1">
        <f t="array" ref="BU44">SUM(BI44:BT44)</f>
        <v>0</v>
      </c>
      <c r="BV44" s="41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 cm="1">
        <f t="array" ref="CI44">SUM(BW44:CH44)</f>
        <v>0</v>
      </c>
      <c r="CJ44" s="41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 cm="1">
        <f t="array" ref="CW44">SUM(CK44:CV44)</f>
        <v>0</v>
      </c>
      <c r="CX44" s="41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 cm="1">
        <f t="array" ref="DK44">SUM(CY44:DJ44)</f>
        <v>0</v>
      </c>
      <c r="DL44" s="41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 cm="1">
        <f t="array" ref="DY44">SUM(DM44:DX44)</f>
        <v>0</v>
      </c>
      <c r="DZ44" s="41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 cm="1">
        <f t="array" ref="EM44">SUM(EA44:EL44)</f>
        <v>0</v>
      </c>
      <c r="EN44" s="41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 cm="1">
        <f t="array" ref="FA44">SUM(EO44:EZ44)</f>
        <v>0</v>
      </c>
      <c r="FB44" s="41"/>
    </row>
    <row r="45" spans="3:158" ht="16" hidden="1" customHeight="1" x14ac:dyDescent="0.2">
      <c r="C45" s="32" t="s">
        <v>9</v>
      </c>
      <c r="D45" s="1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 cm="1">
        <f t="array" ref="Q45">SUM(E45:P45)</f>
        <v>0</v>
      </c>
      <c r="R45" s="41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 cm="1">
        <f t="array" ref="AE45">SUM(S45:AD45)</f>
        <v>0</v>
      </c>
      <c r="AF45" s="41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 cm="1">
        <f t="array" ref="AS45">SUM(AG45:AR45)</f>
        <v>0</v>
      </c>
      <c r="AT45" s="41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 cm="1">
        <f t="array" ref="BG45">SUM(AU45:BF45)</f>
        <v>0</v>
      </c>
      <c r="BH45" s="41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 cm="1">
        <f t="array" ref="BU45">SUM(BI45:BT45)</f>
        <v>0</v>
      </c>
      <c r="BV45" s="41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 cm="1">
        <f t="array" ref="CI45">SUM(BW45:CH45)</f>
        <v>0</v>
      </c>
      <c r="CJ45" s="41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 cm="1">
        <f t="array" ref="CW45">SUM(CK45:CV45)</f>
        <v>0</v>
      </c>
      <c r="CX45" s="41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 cm="1">
        <f t="array" ref="DK45">SUM(CY45:DJ45)</f>
        <v>0</v>
      </c>
      <c r="DL45" s="41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 cm="1">
        <f t="array" ref="DY45">SUM(DM45:DX45)</f>
        <v>0</v>
      </c>
      <c r="DZ45" s="41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 cm="1">
        <f t="array" ref="EM45">SUM(EA45:EL45)</f>
        <v>0</v>
      </c>
      <c r="EN45" s="41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 cm="1">
        <f t="array" ref="FA45">SUM(EO45:EZ45)</f>
        <v>0</v>
      </c>
      <c r="FB45" s="41"/>
    </row>
    <row r="46" spans="3:158" ht="16" customHeight="1" x14ac:dyDescent="0.2">
      <c r="C46" s="27" t="s">
        <v>10</v>
      </c>
      <c r="D46" s="14"/>
      <c r="E46" s="28" cm="1">
        <f t="array" aca="1" ref="E46" ca="1">SUM(INDIRECT(ADDRESS(expenses_min_row, COLUMN()) &amp; ":" &amp; ADDRESS(expenses_max_row, COLUMN())))</f>
        <v>6500</v>
      </c>
      <c r="F46" s="28" cm="1">
        <f t="array" aca="1" ref="F46" ca="1">SUM(INDIRECT(ADDRESS(expenses_min_row, COLUMN()) &amp; ":" &amp; ADDRESS(expenses_max_row, COLUMN())))</f>
        <v>0</v>
      </c>
      <c r="G46" s="28" cm="1">
        <f t="array" aca="1" ref="G46" ca="1">SUM(INDIRECT(ADDRESS(expenses_min_row, COLUMN()) &amp; ":" &amp; ADDRESS(expenses_max_row, COLUMN())))</f>
        <v>6612</v>
      </c>
      <c r="H46" s="28" cm="1">
        <f t="array" aca="1" ref="H46" ca="1">SUM(INDIRECT(ADDRESS(expenses_min_row, COLUMN()) &amp; ":" &amp; ADDRESS(expenses_max_row, COLUMN())))</f>
        <v>0</v>
      </c>
      <c r="I46" s="28" cm="1">
        <f t="array" aca="1" ref="I46" ca="1">SUM(INDIRECT(ADDRESS(expenses_min_row, COLUMN()) &amp; ":" &amp; ADDRESS(expenses_max_row, COLUMN())))</f>
        <v>15531</v>
      </c>
      <c r="J46" s="28" cm="1">
        <f t="array" aca="1" ref="J46" ca="1">SUM(INDIRECT(ADDRESS(expenses_min_row, COLUMN()) &amp; ":" &amp; ADDRESS(expenses_max_row, COLUMN())))</f>
        <v>513</v>
      </c>
      <c r="K46" s="28" cm="1">
        <f t="array" aca="1" ref="K46" ca="1">SUM(INDIRECT(ADDRESS(expenses_min_row, COLUMN()) &amp; ":" &amp; ADDRESS(expenses_max_row, COLUMN())))</f>
        <v>0</v>
      </c>
      <c r="L46" s="28" cm="1">
        <f t="array" aca="1" ref="L46" ca="1">SUM(INDIRECT(ADDRESS(expenses_min_row, COLUMN()) &amp; ":" &amp; ADDRESS(expenses_max_row, COLUMN())))</f>
        <v>0</v>
      </c>
      <c r="M46" s="28" cm="1">
        <f t="array" aca="1" ref="M46" ca="1">SUM(INDIRECT(ADDRESS(expenses_min_row, COLUMN()) &amp; ":" &amp; ADDRESS(expenses_max_row, COLUMN())))</f>
        <v>0</v>
      </c>
      <c r="N46" s="28" cm="1">
        <f t="array" aca="1" ref="N46" ca="1">SUM(INDIRECT(ADDRESS(expenses_min_row, COLUMN()) &amp; ":" &amp; ADDRESS(expenses_max_row, COLUMN())))</f>
        <v>0</v>
      </c>
      <c r="O46" s="28" cm="1">
        <f t="array" aca="1" ref="O46" ca="1">SUM(INDIRECT(ADDRESS(expenses_min_row, COLUMN()) &amp; ":" &amp; ADDRESS(expenses_max_row, COLUMN())))</f>
        <v>0</v>
      </c>
      <c r="P46" s="28" cm="1">
        <f t="array" aca="1" ref="P46" ca="1">SUM(INDIRECT(ADDRESS(expenses_min_row, COLUMN()) &amp; ":" &amp; ADDRESS(expenses_max_row, COLUMN())))</f>
        <v>0</v>
      </c>
      <c r="Q46" s="28" cm="1">
        <f t="array" aca="1" ref="Q46" ca="1">SUM(INDIRECT(ADDRESS(expenses_min_row, COLUMN()) &amp; ":" &amp; ADDRESS(expenses_max_row, COLUMN())))</f>
        <v>29156</v>
      </c>
      <c r="R46" s="41"/>
      <c r="S46" s="28" cm="1">
        <f t="array" aca="1" ref="S46" ca="1">SUM(INDIRECT(ADDRESS(expenses_min_row, COLUMN()) &amp; ":" &amp; ADDRESS(expenses_max_row, COLUMN())))</f>
        <v>0</v>
      </c>
      <c r="T46" s="28" cm="1">
        <f t="array" aca="1" ref="T46" ca="1">SUM(INDIRECT(ADDRESS(expenses_min_row, COLUMN()) &amp; ":" &amp; ADDRESS(expenses_max_row, COLUMN())))</f>
        <v>0</v>
      </c>
      <c r="U46" s="28" cm="1">
        <f t="array" aca="1" ref="U46" ca="1">SUM(INDIRECT(ADDRESS(expenses_min_row, COLUMN()) &amp; ":" &amp; ADDRESS(expenses_max_row, COLUMN())))</f>
        <v>0</v>
      </c>
      <c r="V46" s="28" cm="1">
        <f t="array" aca="1" ref="V46" ca="1">SUM(INDIRECT(ADDRESS(expenses_min_row, COLUMN()) &amp; ":" &amp; ADDRESS(expenses_max_row, COLUMN())))</f>
        <v>0</v>
      </c>
      <c r="W46" s="28" cm="1">
        <f t="array" aca="1" ref="W46" ca="1">SUM(INDIRECT(ADDRESS(expenses_min_row, COLUMN()) &amp; ":" &amp; ADDRESS(expenses_max_row, COLUMN())))</f>
        <v>0</v>
      </c>
      <c r="X46" s="28" cm="1">
        <f t="array" aca="1" ref="X46" ca="1">SUM(INDIRECT(ADDRESS(expenses_min_row, COLUMN()) &amp; ":" &amp; ADDRESS(expenses_max_row, COLUMN())))</f>
        <v>0</v>
      </c>
      <c r="Y46" s="28" cm="1">
        <f t="array" aca="1" ref="Y46" ca="1">SUM(INDIRECT(ADDRESS(expenses_min_row, COLUMN()) &amp; ":" &amp; ADDRESS(expenses_max_row, COLUMN())))</f>
        <v>0</v>
      </c>
      <c r="Z46" s="28" cm="1">
        <f t="array" aca="1" ref="Z46" ca="1">SUM(INDIRECT(ADDRESS(expenses_min_row, COLUMN()) &amp; ":" &amp; ADDRESS(expenses_max_row, COLUMN())))</f>
        <v>0</v>
      </c>
      <c r="AA46" s="28" cm="1">
        <f t="array" aca="1" ref="AA46" ca="1">SUM(INDIRECT(ADDRESS(expenses_min_row, COLUMN()) &amp; ":" &amp; ADDRESS(expenses_max_row, COLUMN())))</f>
        <v>0</v>
      </c>
      <c r="AB46" s="28" cm="1">
        <f t="array" aca="1" ref="AB46" ca="1">SUM(INDIRECT(ADDRESS(expenses_min_row, COLUMN()) &amp; ":" &amp; ADDRESS(expenses_max_row, COLUMN())))</f>
        <v>0</v>
      </c>
      <c r="AC46" s="28" cm="1">
        <f t="array" aca="1" ref="AC46" ca="1">SUM(INDIRECT(ADDRESS(expenses_min_row, COLUMN()) &amp; ":" &amp; ADDRESS(expenses_max_row, COLUMN())))</f>
        <v>0</v>
      </c>
      <c r="AD46" s="28" cm="1">
        <f t="array" aca="1" ref="AD46" ca="1">SUM(INDIRECT(ADDRESS(expenses_min_row, COLUMN()) &amp; ":" &amp; ADDRESS(expenses_max_row, COLUMN())))</f>
        <v>0</v>
      </c>
      <c r="AE46" s="28" cm="1">
        <f t="array" aca="1" ref="AE46" ca="1">SUM(INDIRECT(ADDRESS(expenses_min_row, COLUMN()) &amp; ":" &amp; ADDRESS(expenses_max_row, COLUMN())))</f>
        <v>0</v>
      </c>
      <c r="AF46" s="41"/>
      <c r="AG46" s="28" cm="1">
        <f t="array" aca="1" ref="AG46" ca="1">SUM(INDIRECT(ADDRESS(expenses_min_row, COLUMN()) &amp; ":" &amp; ADDRESS(expenses_max_row, COLUMN())))</f>
        <v>0</v>
      </c>
      <c r="AH46" s="28" cm="1">
        <f t="array" aca="1" ref="AH46" ca="1">SUM(INDIRECT(ADDRESS(expenses_min_row, COLUMN()) &amp; ":" &amp; ADDRESS(expenses_max_row, COLUMN())))</f>
        <v>0</v>
      </c>
      <c r="AI46" s="28" cm="1">
        <f t="array" aca="1" ref="AI46" ca="1">SUM(INDIRECT(ADDRESS(expenses_min_row, COLUMN()) &amp; ":" &amp; ADDRESS(expenses_max_row, COLUMN())))</f>
        <v>0</v>
      </c>
      <c r="AJ46" s="28" cm="1">
        <f t="array" aca="1" ref="AJ46" ca="1">SUM(INDIRECT(ADDRESS(expenses_min_row, COLUMN()) &amp; ":" &amp; ADDRESS(expenses_max_row, COLUMN())))</f>
        <v>0</v>
      </c>
      <c r="AK46" s="28" cm="1">
        <f t="array" aca="1" ref="AK46" ca="1">SUM(INDIRECT(ADDRESS(expenses_min_row, COLUMN()) &amp; ":" &amp; ADDRESS(expenses_max_row, COLUMN())))</f>
        <v>0</v>
      </c>
      <c r="AL46" s="28" cm="1">
        <f t="array" aca="1" ref="AL46" ca="1">SUM(INDIRECT(ADDRESS(expenses_min_row, COLUMN()) &amp; ":" &amp; ADDRESS(expenses_max_row, COLUMN())))</f>
        <v>0</v>
      </c>
      <c r="AM46" s="28" cm="1">
        <f t="array" aca="1" ref="AM46" ca="1">SUM(INDIRECT(ADDRESS(expenses_min_row, COLUMN()) &amp; ":" &amp; ADDRESS(expenses_max_row, COLUMN())))</f>
        <v>0</v>
      </c>
      <c r="AN46" s="28" cm="1">
        <f t="array" aca="1" ref="AN46" ca="1">SUM(INDIRECT(ADDRESS(expenses_min_row, COLUMN()) &amp; ":" &amp; ADDRESS(expenses_max_row, COLUMN())))</f>
        <v>0</v>
      </c>
      <c r="AO46" s="28" cm="1">
        <f t="array" aca="1" ref="AO46" ca="1">SUM(INDIRECT(ADDRESS(expenses_min_row, COLUMN()) &amp; ":" &amp; ADDRESS(expenses_max_row, COLUMN())))</f>
        <v>0</v>
      </c>
      <c r="AP46" s="28" cm="1">
        <f t="array" aca="1" ref="AP46" ca="1">SUM(INDIRECT(ADDRESS(expenses_min_row, COLUMN()) &amp; ":" &amp; ADDRESS(expenses_max_row, COLUMN())))</f>
        <v>0</v>
      </c>
      <c r="AQ46" s="28" cm="1">
        <f t="array" aca="1" ref="AQ46" ca="1">SUM(INDIRECT(ADDRESS(expenses_min_row, COLUMN()) &amp; ":" &amp; ADDRESS(expenses_max_row, COLUMN())))</f>
        <v>0</v>
      </c>
      <c r="AR46" s="28" cm="1">
        <f t="array" aca="1" ref="AR46" ca="1">SUM(INDIRECT(ADDRESS(expenses_min_row, COLUMN()) &amp; ":" &amp; ADDRESS(expenses_max_row, COLUMN())))</f>
        <v>0</v>
      </c>
      <c r="AS46" s="28" cm="1">
        <f t="array" aca="1" ref="AS46" ca="1">SUM(INDIRECT(ADDRESS(expenses_min_row, COLUMN()) &amp; ":" &amp; ADDRESS(expenses_max_row, COLUMN())))</f>
        <v>0</v>
      </c>
      <c r="AT46" s="41"/>
      <c r="AU46" s="28" cm="1">
        <f t="array" aca="1" ref="AU46" ca="1">SUM(INDIRECT(ADDRESS(expenses_min_row, COLUMN()) &amp; ":" &amp; ADDRESS(expenses_max_row, COLUMN())))</f>
        <v>0</v>
      </c>
      <c r="AV46" s="28" cm="1">
        <f t="array" aca="1" ref="AV46" ca="1">SUM(INDIRECT(ADDRESS(expenses_min_row, COLUMN()) &amp; ":" &amp; ADDRESS(expenses_max_row, COLUMN())))</f>
        <v>0</v>
      </c>
      <c r="AW46" s="28" cm="1">
        <f t="array" aca="1" ref="AW46" ca="1">SUM(INDIRECT(ADDRESS(expenses_min_row, COLUMN()) &amp; ":" &amp; ADDRESS(expenses_max_row, COLUMN())))</f>
        <v>0</v>
      </c>
      <c r="AX46" s="28" cm="1">
        <f t="array" aca="1" ref="AX46" ca="1">SUM(INDIRECT(ADDRESS(expenses_min_row, COLUMN()) &amp; ":" &amp; ADDRESS(expenses_max_row, COLUMN())))</f>
        <v>0</v>
      </c>
      <c r="AY46" s="28" cm="1">
        <f t="array" aca="1" ref="AY46" ca="1">SUM(INDIRECT(ADDRESS(expenses_min_row, COLUMN()) &amp; ":" &amp; ADDRESS(expenses_max_row, COLUMN())))</f>
        <v>0</v>
      </c>
      <c r="AZ46" s="28" cm="1">
        <f t="array" aca="1" ref="AZ46" ca="1">SUM(INDIRECT(ADDRESS(expenses_min_row, COLUMN()) &amp; ":" &amp; ADDRESS(expenses_max_row, COLUMN())))</f>
        <v>0</v>
      </c>
      <c r="BA46" s="28" cm="1">
        <f t="array" aca="1" ref="BA46" ca="1">SUM(INDIRECT(ADDRESS(expenses_min_row, COLUMN()) &amp; ":" &amp; ADDRESS(expenses_max_row, COLUMN())))</f>
        <v>0</v>
      </c>
      <c r="BB46" s="28" cm="1">
        <f t="array" aca="1" ref="BB46" ca="1">SUM(INDIRECT(ADDRESS(expenses_min_row, COLUMN()) &amp; ":" &amp; ADDRESS(expenses_max_row, COLUMN())))</f>
        <v>0</v>
      </c>
      <c r="BC46" s="28" cm="1">
        <f t="array" aca="1" ref="BC46" ca="1">SUM(INDIRECT(ADDRESS(expenses_min_row, COLUMN()) &amp; ":" &amp; ADDRESS(expenses_max_row, COLUMN())))</f>
        <v>0</v>
      </c>
      <c r="BD46" s="28" cm="1">
        <f t="array" aca="1" ref="BD46" ca="1">SUM(INDIRECT(ADDRESS(expenses_min_row, COLUMN()) &amp; ":" &amp; ADDRESS(expenses_max_row, COLUMN())))</f>
        <v>0</v>
      </c>
      <c r="BE46" s="28" cm="1">
        <f t="array" aca="1" ref="BE46" ca="1">SUM(INDIRECT(ADDRESS(expenses_min_row, COLUMN()) &amp; ":" &amp; ADDRESS(expenses_max_row, COLUMN())))</f>
        <v>0</v>
      </c>
      <c r="BF46" s="28" cm="1">
        <f t="array" aca="1" ref="BF46" ca="1">SUM(INDIRECT(ADDRESS(expenses_min_row, COLUMN()) &amp; ":" &amp; ADDRESS(expenses_max_row, COLUMN())))</f>
        <v>0</v>
      </c>
      <c r="BG46" s="28" cm="1">
        <f t="array" aca="1" ref="BG46" ca="1">SUM(INDIRECT(ADDRESS(expenses_min_row, COLUMN()) &amp; ":" &amp; ADDRESS(expenses_max_row, COLUMN())))</f>
        <v>0</v>
      </c>
      <c r="BH46" s="41"/>
      <c r="BI46" s="28" cm="1">
        <f t="array" aca="1" ref="BI46" ca="1">SUM(INDIRECT(ADDRESS(expenses_min_row, COLUMN()) &amp; ":" &amp; ADDRESS(expenses_max_row, COLUMN())))</f>
        <v>0</v>
      </c>
      <c r="BJ46" s="28" cm="1">
        <f t="array" aca="1" ref="BJ46" ca="1">SUM(INDIRECT(ADDRESS(expenses_min_row, COLUMN()) &amp; ":" &amp; ADDRESS(expenses_max_row, COLUMN())))</f>
        <v>0</v>
      </c>
      <c r="BK46" s="28" cm="1">
        <f t="array" aca="1" ref="BK46" ca="1">SUM(INDIRECT(ADDRESS(expenses_min_row, COLUMN()) &amp; ":" &amp; ADDRESS(expenses_max_row, COLUMN())))</f>
        <v>0</v>
      </c>
      <c r="BL46" s="28" cm="1">
        <f t="array" aca="1" ref="BL46" ca="1">SUM(INDIRECT(ADDRESS(expenses_min_row, COLUMN()) &amp; ":" &amp; ADDRESS(expenses_max_row, COLUMN())))</f>
        <v>0</v>
      </c>
      <c r="BM46" s="28" cm="1">
        <f t="array" aca="1" ref="BM46" ca="1">SUM(INDIRECT(ADDRESS(expenses_min_row, COLUMN()) &amp; ":" &amp; ADDRESS(expenses_max_row, COLUMN())))</f>
        <v>0</v>
      </c>
      <c r="BN46" s="28" cm="1">
        <f t="array" aca="1" ref="BN46" ca="1">SUM(INDIRECT(ADDRESS(expenses_min_row, COLUMN()) &amp; ":" &amp; ADDRESS(expenses_max_row, COLUMN())))</f>
        <v>0</v>
      </c>
      <c r="BO46" s="28" cm="1">
        <f t="array" aca="1" ref="BO46" ca="1">SUM(INDIRECT(ADDRESS(expenses_min_row, COLUMN()) &amp; ":" &amp; ADDRESS(expenses_max_row, COLUMN())))</f>
        <v>0</v>
      </c>
      <c r="BP46" s="28" cm="1">
        <f t="array" aca="1" ref="BP46" ca="1">SUM(INDIRECT(ADDRESS(expenses_min_row, COLUMN()) &amp; ":" &amp; ADDRESS(expenses_max_row, COLUMN())))</f>
        <v>0</v>
      </c>
      <c r="BQ46" s="28" cm="1">
        <f t="array" aca="1" ref="BQ46" ca="1">SUM(INDIRECT(ADDRESS(expenses_min_row, COLUMN()) &amp; ":" &amp; ADDRESS(expenses_max_row, COLUMN())))</f>
        <v>0</v>
      </c>
      <c r="BR46" s="28" cm="1">
        <f t="array" aca="1" ref="BR46" ca="1">SUM(INDIRECT(ADDRESS(expenses_min_row, COLUMN()) &amp; ":" &amp; ADDRESS(expenses_max_row, COLUMN())))</f>
        <v>0</v>
      </c>
      <c r="BS46" s="28" cm="1">
        <f t="array" aca="1" ref="BS46" ca="1">SUM(INDIRECT(ADDRESS(expenses_min_row, COLUMN()) &amp; ":" &amp; ADDRESS(expenses_max_row, COLUMN())))</f>
        <v>0</v>
      </c>
      <c r="BT46" s="28" cm="1">
        <f t="array" aca="1" ref="BT46" ca="1">SUM(INDIRECT(ADDRESS(expenses_min_row, COLUMN()) &amp; ":" &amp; ADDRESS(expenses_max_row, COLUMN())))</f>
        <v>0</v>
      </c>
      <c r="BU46" s="28" cm="1">
        <f t="array" aca="1" ref="BU46" ca="1">SUM(INDIRECT(ADDRESS(expenses_min_row, COLUMN()) &amp; ":" &amp; ADDRESS(expenses_max_row, COLUMN())))</f>
        <v>0</v>
      </c>
      <c r="BV46" s="41"/>
      <c r="BW46" s="28" cm="1">
        <f t="array" aca="1" ref="BW46" ca="1">SUM(INDIRECT(ADDRESS(expenses_min_row, COLUMN()) &amp; ":" &amp; ADDRESS(expenses_max_row, COLUMN())))</f>
        <v>0</v>
      </c>
      <c r="BX46" s="28" cm="1">
        <f t="array" aca="1" ref="BX46" ca="1">SUM(INDIRECT(ADDRESS(expenses_min_row, COLUMN()) &amp; ":" &amp; ADDRESS(expenses_max_row, COLUMN())))</f>
        <v>0</v>
      </c>
      <c r="BY46" s="28" cm="1">
        <f t="array" aca="1" ref="BY46" ca="1">SUM(INDIRECT(ADDRESS(expenses_min_row, COLUMN()) &amp; ":" &amp; ADDRESS(expenses_max_row, COLUMN())))</f>
        <v>0</v>
      </c>
      <c r="BZ46" s="28" cm="1">
        <f t="array" aca="1" ref="BZ46" ca="1">SUM(INDIRECT(ADDRESS(expenses_min_row, COLUMN()) &amp; ":" &amp; ADDRESS(expenses_max_row, COLUMN())))</f>
        <v>0</v>
      </c>
      <c r="CA46" s="28" cm="1">
        <f t="array" aca="1" ref="CA46" ca="1">SUM(INDIRECT(ADDRESS(expenses_min_row, COLUMN()) &amp; ":" &amp; ADDRESS(expenses_max_row, COLUMN())))</f>
        <v>0</v>
      </c>
      <c r="CB46" s="28" cm="1">
        <f t="array" aca="1" ref="CB46" ca="1">SUM(INDIRECT(ADDRESS(expenses_min_row, COLUMN()) &amp; ":" &amp; ADDRESS(expenses_max_row, COLUMN())))</f>
        <v>0</v>
      </c>
      <c r="CC46" s="28" cm="1">
        <f t="array" aca="1" ref="CC46" ca="1">SUM(INDIRECT(ADDRESS(expenses_min_row, COLUMN()) &amp; ":" &amp; ADDRESS(expenses_max_row, COLUMN())))</f>
        <v>0</v>
      </c>
      <c r="CD46" s="28" cm="1">
        <f t="array" aca="1" ref="CD46" ca="1">SUM(INDIRECT(ADDRESS(expenses_min_row, COLUMN()) &amp; ":" &amp; ADDRESS(expenses_max_row, COLUMN())))</f>
        <v>0</v>
      </c>
      <c r="CE46" s="28" cm="1">
        <f t="array" aca="1" ref="CE46" ca="1">SUM(INDIRECT(ADDRESS(expenses_min_row, COLUMN()) &amp; ":" &amp; ADDRESS(expenses_max_row, COLUMN())))</f>
        <v>0</v>
      </c>
      <c r="CF46" s="28" cm="1">
        <f t="array" aca="1" ref="CF46" ca="1">SUM(INDIRECT(ADDRESS(expenses_min_row, COLUMN()) &amp; ":" &amp; ADDRESS(expenses_max_row, COLUMN())))</f>
        <v>0</v>
      </c>
      <c r="CG46" s="28" cm="1">
        <f t="array" aca="1" ref="CG46" ca="1">SUM(INDIRECT(ADDRESS(expenses_min_row, COLUMN()) &amp; ":" &amp; ADDRESS(expenses_max_row, COLUMN())))</f>
        <v>0</v>
      </c>
      <c r="CH46" s="28" cm="1">
        <f t="array" aca="1" ref="CH46" ca="1">SUM(INDIRECT(ADDRESS(expenses_min_row, COLUMN()) &amp; ":" &amp; ADDRESS(expenses_max_row, COLUMN())))</f>
        <v>0</v>
      </c>
      <c r="CI46" s="28" cm="1">
        <f t="array" aca="1" ref="CI46" ca="1">SUM(INDIRECT(ADDRESS(expenses_min_row, COLUMN()) &amp; ":" &amp; ADDRESS(expenses_max_row, COLUMN())))</f>
        <v>0</v>
      </c>
      <c r="CJ46" s="41"/>
      <c r="CK46" s="28" cm="1">
        <f t="array" aca="1" ref="CK46" ca="1">SUM(INDIRECT(ADDRESS(expenses_min_row, COLUMN()) &amp; ":" &amp; ADDRESS(expenses_max_row, COLUMN())))</f>
        <v>0</v>
      </c>
      <c r="CL46" s="28" cm="1">
        <f t="array" aca="1" ref="CL46" ca="1">SUM(INDIRECT(ADDRESS(expenses_min_row, COLUMN()) &amp; ":" &amp; ADDRESS(expenses_max_row, COLUMN())))</f>
        <v>0</v>
      </c>
      <c r="CM46" s="28" cm="1">
        <f t="array" aca="1" ref="CM46" ca="1">SUM(INDIRECT(ADDRESS(expenses_min_row, COLUMN()) &amp; ":" &amp; ADDRESS(expenses_max_row, COLUMN())))</f>
        <v>0</v>
      </c>
      <c r="CN46" s="28" cm="1">
        <f t="array" aca="1" ref="CN46" ca="1">SUM(INDIRECT(ADDRESS(expenses_min_row, COLUMN()) &amp; ":" &amp; ADDRESS(expenses_max_row, COLUMN())))</f>
        <v>0</v>
      </c>
      <c r="CO46" s="28" cm="1">
        <f t="array" aca="1" ref="CO46" ca="1">SUM(INDIRECT(ADDRESS(expenses_min_row, COLUMN()) &amp; ":" &amp; ADDRESS(expenses_max_row, COLUMN())))</f>
        <v>0</v>
      </c>
      <c r="CP46" s="28" cm="1">
        <f t="array" aca="1" ref="CP46" ca="1">SUM(INDIRECT(ADDRESS(expenses_min_row, COLUMN()) &amp; ":" &amp; ADDRESS(expenses_max_row, COLUMN())))</f>
        <v>0</v>
      </c>
      <c r="CQ46" s="28" cm="1">
        <f t="array" aca="1" ref="CQ46" ca="1">SUM(INDIRECT(ADDRESS(expenses_min_row, COLUMN()) &amp; ":" &amp; ADDRESS(expenses_max_row, COLUMN())))</f>
        <v>0</v>
      </c>
      <c r="CR46" s="28" cm="1">
        <f t="array" aca="1" ref="CR46" ca="1">SUM(INDIRECT(ADDRESS(expenses_min_row, COLUMN()) &amp; ":" &amp; ADDRESS(expenses_max_row, COLUMN())))</f>
        <v>0</v>
      </c>
      <c r="CS46" s="28" cm="1">
        <f t="array" aca="1" ref="CS46" ca="1">SUM(INDIRECT(ADDRESS(expenses_min_row, COLUMN()) &amp; ":" &amp; ADDRESS(expenses_max_row, COLUMN())))</f>
        <v>0</v>
      </c>
      <c r="CT46" s="28" cm="1">
        <f t="array" aca="1" ref="CT46" ca="1">SUM(INDIRECT(ADDRESS(expenses_min_row, COLUMN()) &amp; ":" &amp; ADDRESS(expenses_max_row, COLUMN())))</f>
        <v>0</v>
      </c>
      <c r="CU46" s="28" cm="1">
        <f t="array" aca="1" ref="CU46" ca="1">SUM(INDIRECT(ADDRESS(expenses_min_row, COLUMN()) &amp; ":" &amp; ADDRESS(expenses_max_row, COLUMN())))</f>
        <v>0</v>
      </c>
      <c r="CV46" s="28" cm="1">
        <f t="array" aca="1" ref="CV46" ca="1">SUM(INDIRECT(ADDRESS(expenses_min_row, COLUMN()) &amp; ":" &amp; ADDRESS(expenses_max_row, COLUMN())))</f>
        <v>0</v>
      </c>
      <c r="CW46" s="28" cm="1">
        <f t="array" aca="1" ref="CW46" ca="1">SUM(INDIRECT(ADDRESS(expenses_min_row, COLUMN()) &amp; ":" &amp; ADDRESS(expenses_max_row, COLUMN())))</f>
        <v>0</v>
      </c>
      <c r="CX46" s="41"/>
      <c r="CY46" s="28" cm="1">
        <f t="array" aca="1" ref="CY46" ca="1">SUM(INDIRECT(ADDRESS(expenses_min_row, COLUMN()) &amp; ":" &amp; ADDRESS(expenses_max_row, COLUMN())))</f>
        <v>0</v>
      </c>
      <c r="CZ46" s="28" cm="1">
        <f t="array" aca="1" ref="CZ46" ca="1">SUM(INDIRECT(ADDRESS(expenses_min_row, COLUMN()) &amp; ":" &amp; ADDRESS(expenses_max_row, COLUMN())))</f>
        <v>0</v>
      </c>
      <c r="DA46" s="28" cm="1">
        <f t="array" aca="1" ref="DA46" ca="1">SUM(INDIRECT(ADDRESS(expenses_min_row, COLUMN()) &amp; ":" &amp; ADDRESS(expenses_max_row, COLUMN())))</f>
        <v>0</v>
      </c>
      <c r="DB46" s="28" cm="1">
        <f t="array" aca="1" ref="DB46" ca="1">SUM(INDIRECT(ADDRESS(expenses_min_row, COLUMN()) &amp; ":" &amp; ADDRESS(expenses_max_row, COLUMN())))</f>
        <v>0</v>
      </c>
      <c r="DC46" s="28" cm="1">
        <f t="array" aca="1" ref="DC46" ca="1">SUM(INDIRECT(ADDRESS(expenses_min_row, COLUMN()) &amp; ":" &amp; ADDRESS(expenses_max_row, COLUMN())))</f>
        <v>0</v>
      </c>
      <c r="DD46" s="28" cm="1">
        <f t="array" aca="1" ref="DD46" ca="1">SUM(INDIRECT(ADDRESS(expenses_min_row, COLUMN()) &amp; ":" &amp; ADDRESS(expenses_max_row, COLUMN())))</f>
        <v>0</v>
      </c>
      <c r="DE46" s="28" cm="1">
        <f t="array" aca="1" ref="DE46" ca="1">SUM(INDIRECT(ADDRESS(expenses_min_row, COLUMN()) &amp; ":" &amp; ADDRESS(expenses_max_row, COLUMN())))</f>
        <v>0</v>
      </c>
      <c r="DF46" s="28" cm="1">
        <f t="array" aca="1" ref="DF46" ca="1">SUM(INDIRECT(ADDRESS(expenses_min_row, COLUMN()) &amp; ":" &amp; ADDRESS(expenses_max_row, COLUMN())))</f>
        <v>0</v>
      </c>
      <c r="DG46" s="28" cm="1">
        <f t="array" aca="1" ref="DG46" ca="1">SUM(INDIRECT(ADDRESS(expenses_min_row, COLUMN()) &amp; ":" &amp; ADDRESS(expenses_max_row, COLUMN())))</f>
        <v>0</v>
      </c>
      <c r="DH46" s="28" cm="1">
        <f t="array" aca="1" ref="DH46" ca="1">SUM(INDIRECT(ADDRESS(expenses_min_row, COLUMN()) &amp; ":" &amp; ADDRESS(expenses_max_row, COLUMN())))</f>
        <v>0</v>
      </c>
      <c r="DI46" s="28" cm="1">
        <f t="array" aca="1" ref="DI46" ca="1">SUM(INDIRECT(ADDRESS(expenses_min_row, COLUMN()) &amp; ":" &amp; ADDRESS(expenses_max_row, COLUMN())))</f>
        <v>0</v>
      </c>
      <c r="DJ46" s="28" cm="1">
        <f t="array" aca="1" ref="DJ46" ca="1">SUM(INDIRECT(ADDRESS(expenses_min_row, COLUMN()) &amp; ":" &amp; ADDRESS(expenses_max_row, COLUMN())))</f>
        <v>0</v>
      </c>
      <c r="DK46" s="28" cm="1">
        <f t="array" aca="1" ref="DK46" ca="1">SUM(INDIRECT(ADDRESS(expenses_min_row, COLUMN()) &amp; ":" &amp; ADDRESS(expenses_max_row, COLUMN())))</f>
        <v>0</v>
      </c>
      <c r="DL46" s="41"/>
      <c r="DM46" s="28" cm="1">
        <f t="array" aca="1" ref="DM46" ca="1">SUM(INDIRECT(ADDRESS(expenses_min_row, COLUMN()) &amp; ":" &amp; ADDRESS(expenses_max_row, COLUMN())))</f>
        <v>0</v>
      </c>
      <c r="DN46" s="28" cm="1">
        <f t="array" aca="1" ref="DN46" ca="1">SUM(INDIRECT(ADDRESS(expenses_min_row, COLUMN()) &amp; ":" &amp; ADDRESS(expenses_max_row, COLUMN())))</f>
        <v>0</v>
      </c>
      <c r="DO46" s="28" cm="1">
        <f t="array" aca="1" ref="DO46" ca="1">SUM(INDIRECT(ADDRESS(expenses_min_row, COLUMN()) &amp; ":" &amp; ADDRESS(expenses_max_row, COLUMN())))</f>
        <v>0</v>
      </c>
      <c r="DP46" s="28" cm="1">
        <f t="array" aca="1" ref="DP46" ca="1">SUM(INDIRECT(ADDRESS(expenses_min_row, COLUMN()) &amp; ":" &amp; ADDRESS(expenses_max_row, COLUMN())))</f>
        <v>0</v>
      </c>
      <c r="DQ46" s="28" cm="1">
        <f t="array" aca="1" ref="DQ46" ca="1">SUM(INDIRECT(ADDRESS(expenses_min_row, COLUMN()) &amp; ":" &amp; ADDRESS(expenses_max_row, COLUMN())))</f>
        <v>0</v>
      </c>
      <c r="DR46" s="28" cm="1">
        <f t="array" aca="1" ref="DR46" ca="1">SUM(INDIRECT(ADDRESS(expenses_min_row, COLUMN()) &amp; ":" &amp; ADDRESS(expenses_max_row, COLUMN())))</f>
        <v>0</v>
      </c>
      <c r="DS46" s="28" cm="1">
        <f t="array" aca="1" ref="DS46" ca="1">SUM(INDIRECT(ADDRESS(expenses_min_row, COLUMN()) &amp; ":" &amp; ADDRESS(expenses_max_row, COLUMN())))</f>
        <v>0</v>
      </c>
      <c r="DT46" s="28" cm="1">
        <f t="array" aca="1" ref="DT46" ca="1">SUM(INDIRECT(ADDRESS(expenses_min_row, COLUMN()) &amp; ":" &amp; ADDRESS(expenses_max_row, COLUMN())))</f>
        <v>0</v>
      </c>
      <c r="DU46" s="28" cm="1">
        <f t="array" aca="1" ref="DU46" ca="1">SUM(INDIRECT(ADDRESS(expenses_min_row, COLUMN()) &amp; ":" &amp; ADDRESS(expenses_max_row, COLUMN())))</f>
        <v>0</v>
      </c>
      <c r="DV46" s="28" cm="1">
        <f t="array" aca="1" ref="DV46" ca="1">SUM(INDIRECT(ADDRESS(expenses_min_row, COLUMN()) &amp; ":" &amp; ADDRESS(expenses_max_row, COLUMN())))</f>
        <v>0</v>
      </c>
      <c r="DW46" s="28" cm="1">
        <f t="array" aca="1" ref="DW46" ca="1">SUM(INDIRECT(ADDRESS(expenses_min_row, COLUMN()) &amp; ":" &amp; ADDRESS(expenses_max_row, COLUMN())))</f>
        <v>0</v>
      </c>
      <c r="DX46" s="28" cm="1">
        <f t="array" aca="1" ref="DX46" ca="1">SUM(INDIRECT(ADDRESS(expenses_min_row, COLUMN()) &amp; ":" &amp; ADDRESS(expenses_max_row, COLUMN())))</f>
        <v>0</v>
      </c>
      <c r="DY46" s="28" cm="1">
        <f t="array" aca="1" ref="DY46" ca="1">SUM(INDIRECT(ADDRESS(expenses_min_row, COLUMN()) &amp; ":" &amp; ADDRESS(expenses_max_row, COLUMN())))</f>
        <v>0</v>
      </c>
      <c r="DZ46" s="41"/>
      <c r="EA46" s="28" cm="1">
        <f t="array" aca="1" ref="EA46" ca="1">SUM(INDIRECT(ADDRESS(expenses_min_row, COLUMN()) &amp; ":" &amp; ADDRESS(expenses_max_row, COLUMN())))</f>
        <v>0</v>
      </c>
      <c r="EB46" s="28" cm="1">
        <f t="array" aca="1" ref="EB46" ca="1">SUM(INDIRECT(ADDRESS(expenses_min_row, COLUMN()) &amp; ":" &amp; ADDRESS(expenses_max_row, COLUMN())))</f>
        <v>0</v>
      </c>
      <c r="EC46" s="28" cm="1">
        <f t="array" aca="1" ref="EC46" ca="1">SUM(INDIRECT(ADDRESS(expenses_min_row, COLUMN()) &amp; ":" &amp; ADDRESS(expenses_max_row, COLUMN())))</f>
        <v>0</v>
      </c>
      <c r="ED46" s="28" cm="1">
        <f t="array" aca="1" ref="ED46" ca="1">SUM(INDIRECT(ADDRESS(expenses_min_row, COLUMN()) &amp; ":" &amp; ADDRESS(expenses_max_row, COLUMN())))</f>
        <v>0</v>
      </c>
      <c r="EE46" s="28" cm="1">
        <f t="array" aca="1" ref="EE46" ca="1">SUM(INDIRECT(ADDRESS(expenses_min_row, COLUMN()) &amp; ":" &amp; ADDRESS(expenses_max_row, COLUMN())))</f>
        <v>0</v>
      </c>
      <c r="EF46" s="28" cm="1">
        <f t="array" aca="1" ref="EF46" ca="1">SUM(INDIRECT(ADDRESS(expenses_min_row, COLUMN()) &amp; ":" &amp; ADDRESS(expenses_max_row, COLUMN())))</f>
        <v>0</v>
      </c>
      <c r="EG46" s="28" cm="1">
        <f t="array" aca="1" ref="EG46" ca="1">SUM(INDIRECT(ADDRESS(expenses_min_row, COLUMN()) &amp; ":" &amp; ADDRESS(expenses_max_row, COLUMN())))</f>
        <v>0</v>
      </c>
      <c r="EH46" s="28" cm="1">
        <f t="array" aca="1" ref="EH46" ca="1">SUM(INDIRECT(ADDRESS(expenses_min_row, COLUMN()) &amp; ":" &amp; ADDRESS(expenses_max_row, COLUMN())))</f>
        <v>0</v>
      </c>
      <c r="EI46" s="28" cm="1">
        <f t="array" aca="1" ref="EI46" ca="1">SUM(INDIRECT(ADDRESS(expenses_min_row, COLUMN()) &amp; ":" &amp; ADDRESS(expenses_max_row, COLUMN())))</f>
        <v>0</v>
      </c>
      <c r="EJ46" s="28" cm="1">
        <f t="array" aca="1" ref="EJ46" ca="1">SUM(INDIRECT(ADDRESS(expenses_min_row, COLUMN()) &amp; ":" &amp; ADDRESS(expenses_max_row, COLUMN())))</f>
        <v>0</v>
      </c>
      <c r="EK46" s="28" cm="1">
        <f t="array" aca="1" ref="EK46" ca="1">SUM(INDIRECT(ADDRESS(expenses_min_row, COLUMN()) &amp; ":" &amp; ADDRESS(expenses_max_row, COLUMN())))</f>
        <v>0</v>
      </c>
      <c r="EL46" s="28" cm="1">
        <f t="array" aca="1" ref="EL46" ca="1">SUM(INDIRECT(ADDRESS(expenses_min_row, COLUMN()) &amp; ":" &amp; ADDRESS(expenses_max_row, COLUMN())))</f>
        <v>0</v>
      </c>
      <c r="EM46" s="28" cm="1">
        <f t="array" aca="1" ref="EM46" ca="1">SUM(INDIRECT(ADDRESS(expenses_min_row, COLUMN()) &amp; ":" &amp; ADDRESS(expenses_max_row, COLUMN())))</f>
        <v>0</v>
      </c>
      <c r="EN46" s="41"/>
      <c r="EO46" s="28" cm="1">
        <f t="array" aca="1" ref="EO46" ca="1">SUM(INDIRECT(ADDRESS(expenses_min_row, COLUMN()) &amp; ":" &amp; ADDRESS(expenses_max_row, COLUMN())))</f>
        <v>0</v>
      </c>
      <c r="EP46" s="28" cm="1">
        <f t="array" aca="1" ref="EP46" ca="1">SUM(INDIRECT(ADDRESS(expenses_min_row, COLUMN()) &amp; ":" &amp; ADDRESS(expenses_max_row, COLUMN())))</f>
        <v>0</v>
      </c>
      <c r="EQ46" s="28" cm="1">
        <f t="array" aca="1" ref="EQ46" ca="1">SUM(INDIRECT(ADDRESS(expenses_min_row, COLUMN()) &amp; ":" &amp; ADDRESS(expenses_max_row, COLUMN())))</f>
        <v>0</v>
      </c>
      <c r="ER46" s="28" cm="1">
        <f t="array" aca="1" ref="ER46" ca="1">SUM(INDIRECT(ADDRESS(expenses_min_row, COLUMN()) &amp; ":" &amp; ADDRESS(expenses_max_row, COLUMN())))</f>
        <v>0</v>
      </c>
      <c r="ES46" s="28" cm="1">
        <f t="array" aca="1" ref="ES46" ca="1">SUM(INDIRECT(ADDRESS(expenses_min_row, COLUMN()) &amp; ":" &amp; ADDRESS(expenses_max_row, COLUMN())))</f>
        <v>0</v>
      </c>
      <c r="ET46" s="28" cm="1">
        <f t="array" aca="1" ref="ET46" ca="1">SUM(INDIRECT(ADDRESS(expenses_min_row, COLUMN()) &amp; ":" &amp; ADDRESS(expenses_max_row, COLUMN())))</f>
        <v>0</v>
      </c>
      <c r="EU46" s="28" cm="1">
        <f t="array" aca="1" ref="EU46" ca="1">SUM(INDIRECT(ADDRESS(expenses_min_row, COLUMN()) &amp; ":" &amp; ADDRESS(expenses_max_row, COLUMN())))</f>
        <v>0</v>
      </c>
      <c r="EV46" s="28" cm="1">
        <f t="array" aca="1" ref="EV46" ca="1">SUM(INDIRECT(ADDRESS(expenses_min_row, COLUMN()) &amp; ":" &amp; ADDRESS(expenses_max_row, COLUMN())))</f>
        <v>0</v>
      </c>
      <c r="EW46" s="28" cm="1">
        <f t="array" aca="1" ref="EW46" ca="1">SUM(INDIRECT(ADDRESS(expenses_min_row, COLUMN()) &amp; ":" &amp; ADDRESS(expenses_max_row, COLUMN())))</f>
        <v>0</v>
      </c>
      <c r="EX46" s="28" cm="1">
        <f t="array" aca="1" ref="EX46" ca="1">SUM(INDIRECT(ADDRESS(expenses_min_row, COLUMN()) &amp; ":" &amp; ADDRESS(expenses_max_row, COLUMN())))</f>
        <v>0</v>
      </c>
      <c r="EY46" s="28" cm="1">
        <f t="array" aca="1" ref="EY46" ca="1">SUM(INDIRECT(ADDRESS(expenses_min_row, COLUMN()) &amp; ":" &amp; ADDRESS(expenses_max_row, COLUMN())))</f>
        <v>0</v>
      </c>
      <c r="EZ46" s="28" cm="1">
        <f t="array" aca="1" ref="EZ46" ca="1">SUM(INDIRECT(ADDRESS(expenses_min_row, COLUMN()) &amp; ":" &amp; ADDRESS(expenses_max_row, COLUMN())))</f>
        <v>0</v>
      </c>
      <c r="FA46" s="28" cm="1">
        <f t="array" aca="1" ref="FA46" ca="1">SUM(INDIRECT(ADDRESS(expenses_min_row, COLUMN()) &amp; ":" &amp; ADDRESS(expenses_max_row, COLUMN())))</f>
        <v>0</v>
      </c>
      <c r="FB46" s="41"/>
    </row>
    <row r="47" spans="3:158" ht="16" customHeight="1" x14ac:dyDescent="0.2">
      <c r="R47" s="41"/>
      <c r="AF47" s="41"/>
      <c r="AT47" s="41"/>
      <c r="BH47" s="41"/>
      <c r="BV47" s="41"/>
      <c r="CJ47" s="41"/>
      <c r="CX47" s="41"/>
      <c r="DL47" s="41"/>
      <c r="DZ47" s="41"/>
      <c r="EN47" s="41"/>
      <c r="FB47" s="41"/>
    </row>
    <row r="48" spans="3:158" ht="16" customHeight="1" x14ac:dyDescent="0.2">
      <c r="C48" s="34" t="s">
        <v>14</v>
      </c>
      <c r="D48" s="19"/>
      <c r="E48" s="38" cm="1">
        <f t="array" ref="E48">DATE(E$6,1,1)</f>
        <v>44562</v>
      </c>
      <c r="F48" s="38" cm="1">
        <f t="array" ref="F48">DATE(E$6,2,1)</f>
        <v>44593</v>
      </c>
      <c r="G48" s="38" cm="1">
        <f t="array" ref="G48">DATE(E$6,3,1)</f>
        <v>44621</v>
      </c>
      <c r="H48" s="38" cm="1">
        <f t="array" ref="H48">DATE(E$6,4,1)</f>
        <v>44652</v>
      </c>
      <c r="I48" s="38" cm="1">
        <f t="array" ref="I48">DATE(E$6,5,1)</f>
        <v>44682</v>
      </c>
      <c r="J48" s="38" cm="1">
        <f t="array" ref="J48">DATE(E$6,6,1)</f>
        <v>44713</v>
      </c>
      <c r="K48" s="38" cm="1">
        <f t="array" ref="K48">DATE(E$6,7,1)</f>
        <v>44743</v>
      </c>
      <c r="L48" s="38" cm="1">
        <f t="array" ref="L48">DATE(E$6,8,1)</f>
        <v>44774</v>
      </c>
      <c r="M48" s="38" cm="1">
        <f t="array" ref="M48">DATE(E$6,9,1)</f>
        <v>44805</v>
      </c>
      <c r="N48" s="38" cm="1">
        <f t="array" ref="N48">DATE(E$6,10,1)</f>
        <v>44835</v>
      </c>
      <c r="O48" s="38" cm="1">
        <f t="array" ref="O48">DATE(E$6,11,1)</f>
        <v>44866</v>
      </c>
      <c r="P48" s="38" cm="1">
        <f t="array" ref="P48">DATE(E$6,12,1)</f>
        <v>44896</v>
      </c>
      <c r="Q48" s="39" cm="1">
        <f t="array" ref="Q48">E$6</f>
        <v>2022</v>
      </c>
      <c r="R48" s="41"/>
      <c r="S48" s="38" cm="1">
        <f t="array" ref="S48">DATE(S$6,1,1)</f>
        <v>44927</v>
      </c>
      <c r="T48" s="38" cm="1">
        <f t="array" ref="T48">DATE(S$6,2,1)</f>
        <v>44958</v>
      </c>
      <c r="U48" s="38" cm="1">
        <f t="array" ref="U48">DATE(S$6,3,1)</f>
        <v>44986</v>
      </c>
      <c r="V48" s="38" cm="1">
        <f t="array" ref="V48">DATE(S$6,4,1)</f>
        <v>45017</v>
      </c>
      <c r="W48" s="38" cm="1">
        <f t="array" ref="W48">DATE(S$6,5,1)</f>
        <v>45047</v>
      </c>
      <c r="X48" s="38" cm="1">
        <f t="array" ref="X48">DATE(S$6,6,1)</f>
        <v>45078</v>
      </c>
      <c r="Y48" s="38" cm="1">
        <f t="array" ref="Y48">DATE(S$6,7,1)</f>
        <v>45108</v>
      </c>
      <c r="Z48" s="38" cm="1">
        <f t="array" ref="Z48">DATE(S$6,8,1)</f>
        <v>45139</v>
      </c>
      <c r="AA48" s="38" cm="1">
        <f t="array" ref="AA48">DATE(S$6,9,1)</f>
        <v>45170</v>
      </c>
      <c r="AB48" s="38" cm="1">
        <f t="array" ref="AB48">DATE(S$6,10,1)</f>
        <v>45200</v>
      </c>
      <c r="AC48" s="38" cm="1">
        <f t="array" ref="AC48">DATE(S$6,11,1)</f>
        <v>45231</v>
      </c>
      <c r="AD48" s="38" cm="1">
        <f t="array" ref="AD48">DATE(S$6,12,1)</f>
        <v>45261</v>
      </c>
      <c r="AE48" s="39" cm="1">
        <f t="array" ref="AE48">S$6</f>
        <v>2023</v>
      </c>
      <c r="AF48" s="41"/>
      <c r="AG48" s="38" cm="1">
        <f t="array" ref="AG48">DATE(AG$6,1,1)</f>
        <v>45292</v>
      </c>
      <c r="AH48" s="38" cm="1">
        <f t="array" ref="AH48">DATE(AG$6,2,1)</f>
        <v>45323</v>
      </c>
      <c r="AI48" s="38" cm="1">
        <f t="array" ref="AI48">DATE(AG$6,3,1)</f>
        <v>45352</v>
      </c>
      <c r="AJ48" s="38" cm="1">
        <f t="array" ref="AJ48">DATE(AG$6,4,1)</f>
        <v>45383</v>
      </c>
      <c r="AK48" s="38" cm="1">
        <f t="array" ref="AK48">DATE(AG$6,5,1)</f>
        <v>45413</v>
      </c>
      <c r="AL48" s="38" cm="1">
        <f t="array" ref="AL48">DATE(AG$6,6,1)</f>
        <v>45444</v>
      </c>
      <c r="AM48" s="38" cm="1">
        <f t="array" ref="AM48">DATE(AG$6,7,1)</f>
        <v>45474</v>
      </c>
      <c r="AN48" s="38" cm="1">
        <f t="array" ref="AN48">DATE(AG$6,8,1)</f>
        <v>45505</v>
      </c>
      <c r="AO48" s="38" cm="1">
        <f t="array" ref="AO48">DATE(AG$6,9,1)</f>
        <v>45536</v>
      </c>
      <c r="AP48" s="38" cm="1">
        <f t="array" ref="AP48">DATE(AG$6,10,1)</f>
        <v>45566</v>
      </c>
      <c r="AQ48" s="38" cm="1">
        <f t="array" ref="AQ48">DATE(AG$6,11,1)</f>
        <v>45597</v>
      </c>
      <c r="AR48" s="38" cm="1">
        <f t="array" ref="AR48">DATE(AG$6,12,1)</f>
        <v>45627</v>
      </c>
      <c r="AS48" s="39" cm="1">
        <f t="array" ref="AS48">AG$6</f>
        <v>2024</v>
      </c>
      <c r="AT48" s="41"/>
      <c r="AU48" s="38" cm="1">
        <f t="array" ref="AU48">DATE(AU$6,1,1)</f>
        <v>45658</v>
      </c>
      <c r="AV48" s="38" cm="1">
        <f t="array" ref="AV48">DATE(AU$6,2,1)</f>
        <v>45689</v>
      </c>
      <c r="AW48" s="38" cm="1">
        <f t="array" ref="AW48">DATE(AU$6,3,1)</f>
        <v>45717</v>
      </c>
      <c r="AX48" s="38" cm="1">
        <f t="array" ref="AX48">DATE(AU$6,4,1)</f>
        <v>45748</v>
      </c>
      <c r="AY48" s="38" cm="1">
        <f t="array" ref="AY48">DATE(AU$6,5,1)</f>
        <v>45778</v>
      </c>
      <c r="AZ48" s="38" cm="1">
        <f t="array" ref="AZ48">DATE(AU$6,6,1)</f>
        <v>45809</v>
      </c>
      <c r="BA48" s="38" cm="1">
        <f t="array" ref="BA48">DATE(AU$6,7,1)</f>
        <v>45839</v>
      </c>
      <c r="BB48" s="38" cm="1">
        <f t="array" ref="BB48">DATE(AU$6,8,1)</f>
        <v>45870</v>
      </c>
      <c r="BC48" s="38" cm="1">
        <f t="array" ref="BC48">DATE(AU$6,9,1)</f>
        <v>45901</v>
      </c>
      <c r="BD48" s="38" cm="1">
        <f t="array" ref="BD48">DATE(AU$6,10,1)</f>
        <v>45931</v>
      </c>
      <c r="BE48" s="38" cm="1">
        <f t="array" ref="BE48">DATE(AU$6,11,1)</f>
        <v>45962</v>
      </c>
      <c r="BF48" s="38" cm="1">
        <f t="array" ref="BF48">DATE(AU$6,12,1)</f>
        <v>45992</v>
      </c>
      <c r="BG48" s="39" cm="1">
        <f t="array" ref="BG48">AU$6</f>
        <v>2025</v>
      </c>
      <c r="BH48" s="41"/>
      <c r="BI48" s="38" cm="1">
        <f t="array" ref="BI48">DATE(BI$6,1,1)</f>
        <v>46023</v>
      </c>
      <c r="BJ48" s="38" cm="1">
        <f t="array" ref="BJ48">DATE(BI$6,2,1)</f>
        <v>46054</v>
      </c>
      <c r="BK48" s="38" cm="1">
        <f t="array" ref="BK48">DATE(BI$6,3,1)</f>
        <v>46082</v>
      </c>
      <c r="BL48" s="38" cm="1">
        <f t="array" ref="BL48">DATE(BI$6,4,1)</f>
        <v>46113</v>
      </c>
      <c r="BM48" s="38" cm="1">
        <f t="array" ref="BM48">DATE(BI$6,5,1)</f>
        <v>46143</v>
      </c>
      <c r="BN48" s="38" cm="1">
        <f t="array" ref="BN48">DATE(BI$6,6,1)</f>
        <v>46174</v>
      </c>
      <c r="BO48" s="38" cm="1">
        <f t="array" ref="BO48">DATE(BI$6,7,1)</f>
        <v>46204</v>
      </c>
      <c r="BP48" s="38" cm="1">
        <f t="array" ref="BP48">DATE(BI$6,8,1)</f>
        <v>46235</v>
      </c>
      <c r="BQ48" s="38" cm="1">
        <f t="array" ref="BQ48">DATE(BI$6,9,1)</f>
        <v>46266</v>
      </c>
      <c r="BR48" s="38" cm="1">
        <f t="array" ref="BR48">DATE(BI$6,10,1)</f>
        <v>46296</v>
      </c>
      <c r="BS48" s="38" cm="1">
        <f t="array" ref="BS48">DATE(BI$6,11,1)</f>
        <v>46327</v>
      </c>
      <c r="BT48" s="38" cm="1">
        <f t="array" ref="BT48">DATE(BI$6,12,1)</f>
        <v>46357</v>
      </c>
      <c r="BU48" s="39" cm="1">
        <f t="array" ref="BU48">BI$6</f>
        <v>2026</v>
      </c>
      <c r="BV48" s="41"/>
      <c r="BW48" s="38" cm="1">
        <f t="array" ref="BW48">DATE(BW$6,1,1)</f>
        <v>46388</v>
      </c>
      <c r="BX48" s="38" cm="1">
        <f t="array" ref="BX48">DATE(BW$6,2,1)</f>
        <v>46419</v>
      </c>
      <c r="BY48" s="38" cm="1">
        <f t="array" ref="BY48">DATE(BW$6,3,1)</f>
        <v>46447</v>
      </c>
      <c r="BZ48" s="38" cm="1">
        <f t="array" ref="BZ48">DATE(BW$6,4,1)</f>
        <v>46478</v>
      </c>
      <c r="CA48" s="38" cm="1">
        <f t="array" ref="CA48">DATE(BW$6,5,1)</f>
        <v>46508</v>
      </c>
      <c r="CB48" s="38" cm="1">
        <f t="array" ref="CB48">DATE(BW$6,6,1)</f>
        <v>46539</v>
      </c>
      <c r="CC48" s="38" cm="1">
        <f t="array" ref="CC48">DATE(BW$6,7,1)</f>
        <v>46569</v>
      </c>
      <c r="CD48" s="38" cm="1">
        <f t="array" ref="CD48">DATE(BW$6,8,1)</f>
        <v>46600</v>
      </c>
      <c r="CE48" s="38" cm="1">
        <f t="array" ref="CE48">DATE(BW$6,9,1)</f>
        <v>46631</v>
      </c>
      <c r="CF48" s="38" cm="1">
        <f t="array" ref="CF48">DATE(BW$6,10,1)</f>
        <v>46661</v>
      </c>
      <c r="CG48" s="38" cm="1">
        <f t="array" ref="CG48">DATE(BW$6,11,1)</f>
        <v>46692</v>
      </c>
      <c r="CH48" s="38" cm="1">
        <f t="array" ref="CH48">DATE(BW$6,12,1)</f>
        <v>46722</v>
      </c>
      <c r="CI48" s="39" cm="1">
        <f t="array" ref="CI48">BW$6</f>
        <v>2027</v>
      </c>
      <c r="CJ48" s="41"/>
      <c r="CK48" s="38" cm="1">
        <f t="array" ref="CK48">DATE(CK$6,1,1)</f>
        <v>46753</v>
      </c>
      <c r="CL48" s="38" cm="1">
        <f t="array" ref="CL48">DATE(CK$6,2,1)</f>
        <v>46784</v>
      </c>
      <c r="CM48" s="38" cm="1">
        <f t="array" ref="CM48">DATE(CK$6,3,1)</f>
        <v>46813</v>
      </c>
      <c r="CN48" s="38" cm="1">
        <f t="array" ref="CN48">DATE(CK$6,4,1)</f>
        <v>46844</v>
      </c>
      <c r="CO48" s="38" cm="1">
        <f t="array" ref="CO48">DATE(CK$6,5,1)</f>
        <v>46874</v>
      </c>
      <c r="CP48" s="38" cm="1">
        <f t="array" ref="CP48">DATE(CK$6,6,1)</f>
        <v>46905</v>
      </c>
      <c r="CQ48" s="38" cm="1">
        <f t="array" ref="CQ48">DATE(CK$6,7,1)</f>
        <v>46935</v>
      </c>
      <c r="CR48" s="38" cm="1">
        <f t="array" ref="CR48">DATE(CK$6,8,1)</f>
        <v>46966</v>
      </c>
      <c r="CS48" s="38" cm="1">
        <f t="array" ref="CS48">DATE(CK$6,9,1)</f>
        <v>46997</v>
      </c>
      <c r="CT48" s="38" cm="1">
        <f t="array" ref="CT48">DATE(CK$6,10,1)</f>
        <v>47027</v>
      </c>
      <c r="CU48" s="38" cm="1">
        <f t="array" ref="CU48">DATE(CK$6,11,1)</f>
        <v>47058</v>
      </c>
      <c r="CV48" s="38" cm="1">
        <f t="array" ref="CV48">DATE(CK$6,12,1)</f>
        <v>47088</v>
      </c>
      <c r="CW48" s="39" cm="1">
        <f t="array" ref="CW48">CK$6</f>
        <v>2028</v>
      </c>
      <c r="CX48" s="41"/>
      <c r="CY48" s="38" cm="1">
        <f t="array" ref="CY48">DATE(CY$6,1,1)</f>
        <v>47119</v>
      </c>
      <c r="CZ48" s="38" cm="1">
        <f t="array" ref="CZ48">DATE(CY$6,2,1)</f>
        <v>47150</v>
      </c>
      <c r="DA48" s="38" cm="1">
        <f t="array" ref="DA48">DATE(CY$6,3,1)</f>
        <v>47178</v>
      </c>
      <c r="DB48" s="38" cm="1">
        <f t="array" ref="DB48">DATE(CY$6,4,1)</f>
        <v>47209</v>
      </c>
      <c r="DC48" s="38" cm="1">
        <f t="array" ref="DC48">DATE(CY$6,5,1)</f>
        <v>47239</v>
      </c>
      <c r="DD48" s="38" cm="1">
        <f t="array" ref="DD48">DATE(CY$6,6,1)</f>
        <v>47270</v>
      </c>
      <c r="DE48" s="38" cm="1">
        <f t="array" ref="DE48">DATE(CY$6,7,1)</f>
        <v>47300</v>
      </c>
      <c r="DF48" s="38" cm="1">
        <f t="array" ref="DF48">DATE(CY$6,8,1)</f>
        <v>47331</v>
      </c>
      <c r="DG48" s="38" cm="1">
        <f t="array" ref="DG48">DATE(CY$6,9,1)</f>
        <v>47362</v>
      </c>
      <c r="DH48" s="38" cm="1">
        <f t="array" ref="DH48">DATE(CY$6,10,1)</f>
        <v>47392</v>
      </c>
      <c r="DI48" s="38" cm="1">
        <f t="array" ref="DI48">DATE(CY$6,11,1)</f>
        <v>47423</v>
      </c>
      <c r="DJ48" s="38" cm="1">
        <f t="array" ref="DJ48">DATE(CY$6,12,1)</f>
        <v>47453</v>
      </c>
      <c r="DK48" s="39" cm="1">
        <f t="array" ref="DK48">CY$6</f>
        <v>2029</v>
      </c>
      <c r="DL48" s="41"/>
      <c r="DM48" s="38" cm="1">
        <f t="array" ref="DM48">DATE(DM$6,1,1)</f>
        <v>47484</v>
      </c>
      <c r="DN48" s="38" cm="1">
        <f t="array" ref="DN48">DATE(DM$6,2,1)</f>
        <v>47515</v>
      </c>
      <c r="DO48" s="38" cm="1">
        <f t="array" ref="DO48">DATE(DM$6,3,1)</f>
        <v>47543</v>
      </c>
      <c r="DP48" s="38" cm="1">
        <f t="array" ref="DP48">DATE(DM$6,4,1)</f>
        <v>47574</v>
      </c>
      <c r="DQ48" s="38" cm="1">
        <f t="array" ref="DQ48">DATE(DM$6,5,1)</f>
        <v>47604</v>
      </c>
      <c r="DR48" s="38" cm="1">
        <f t="array" ref="DR48">DATE(DM$6,6,1)</f>
        <v>47635</v>
      </c>
      <c r="DS48" s="38" cm="1">
        <f t="array" ref="DS48">DATE(DM$6,7,1)</f>
        <v>47665</v>
      </c>
      <c r="DT48" s="38" cm="1">
        <f t="array" ref="DT48">DATE(DM$6,8,1)</f>
        <v>47696</v>
      </c>
      <c r="DU48" s="38" cm="1">
        <f t="array" ref="DU48">DATE(DM$6,9,1)</f>
        <v>47727</v>
      </c>
      <c r="DV48" s="38" cm="1">
        <f t="array" ref="DV48">DATE(DM$6,10,1)</f>
        <v>47757</v>
      </c>
      <c r="DW48" s="38" cm="1">
        <f t="array" ref="DW48">DATE(DM$6,11,1)</f>
        <v>47788</v>
      </c>
      <c r="DX48" s="38" cm="1">
        <f t="array" ref="DX48">DATE(DM$6,12,1)</f>
        <v>47818</v>
      </c>
      <c r="DY48" s="39" cm="1">
        <f t="array" ref="DY48">DM$6</f>
        <v>2030</v>
      </c>
      <c r="DZ48" s="41"/>
      <c r="EA48" s="38" cm="1">
        <f t="array" ref="EA48">DATE(EA$6,1,1)</f>
        <v>47849</v>
      </c>
      <c r="EB48" s="38" cm="1">
        <f t="array" ref="EB48">DATE(EA$6,2,1)</f>
        <v>47880</v>
      </c>
      <c r="EC48" s="38" cm="1">
        <f t="array" ref="EC48">DATE(EA$6,3,1)</f>
        <v>47908</v>
      </c>
      <c r="ED48" s="38" cm="1">
        <f t="array" ref="ED48">DATE(EA$6,4,1)</f>
        <v>47939</v>
      </c>
      <c r="EE48" s="38" cm="1">
        <f t="array" ref="EE48">DATE(EA$6,5,1)</f>
        <v>47969</v>
      </c>
      <c r="EF48" s="38" cm="1">
        <f t="array" ref="EF48">DATE(EA$6,6,1)</f>
        <v>48000</v>
      </c>
      <c r="EG48" s="38" cm="1">
        <f t="array" ref="EG48">DATE(EA$6,7,1)</f>
        <v>48030</v>
      </c>
      <c r="EH48" s="38" cm="1">
        <f t="array" ref="EH48">DATE(EA$6,8,1)</f>
        <v>48061</v>
      </c>
      <c r="EI48" s="38" cm="1">
        <f t="array" ref="EI48">DATE(EA$6,9,1)</f>
        <v>48092</v>
      </c>
      <c r="EJ48" s="38" cm="1">
        <f t="array" ref="EJ48">DATE(EA$6,10,1)</f>
        <v>48122</v>
      </c>
      <c r="EK48" s="38" cm="1">
        <f t="array" ref="EK48">DATE(EA$6,11,1)</f>
        <v>48153</v>
      </c>
      <c r="EL48" s="38" cm="1">
        <f t="array" ref="EL48">DATE(EA$6,12,1)</f>
        <v>48183</v>
      </c>
      <c r="EM48" s="39" cm="1">
        <f t="array" ref="EM48">EA$6</f>
        <v>2031</v>
      </c>
      <c r="EN48" s="41"/>
      <c r="EO48" s="38" cm="1">
        <f t="array" ref="EO48">DATE(EO$6,1,1)</f>
        <v>48214</v>
      </c>
      <c r="EP48" s="38" cm="1">
        <f t="array" ref="EP48">DATE(EO$6,2,1)</f>
        <v>48245</v>
      </c>
      <c r="EQ48" s="38" cm="1">
        <f t="array" ref="EQ48">DATE(EO$6,3,1)</f>
        <v>48274</v>
      </c>
      <c r="ER48" s="38" cm="1">
        <f t="array" ref="ER48">DATE(EO$6,4,1)</f>
        <v>48305</v>
      </c>
      <c r="ES48" s="38" cm="1">
        <f t="array" ref="ES48">DATE(EO$6,5,1)</f>
        <v>48335</v>
      </c>
      <c r="ET48" s="38" cm="1">
        <f t="array" ref="ET48">DATE(EO$6,6,1)</f>
        <v>48366</v>
      </c>
      <c r="EU48" s="38" cm="1">
        <f t="array" ref="EU48">DATE(EO$6,7,1)</f>
        <v>48396</v>
      </c>
      <c r="EV48" s="38" cm="1">
        <f t="array" ref="EV48">DATE(EO$6,8,1)</f>
        <v>48427</v>
      </c>
      <c r="EW48" s="38" cm="1">
        <f t="array" ref="EW48">DATE(EO$6,9,1)</f>
        <v>48458</v>
      </c>
      <c r="EX48" s="38" cm="1">
        <f t="array" ref="EX48">DATE(EO$6,10,1)</f>
        <v>48488</v>
      </c>
      <c r="EY48" s="38" cm="1">
        <f t="array" ref="EY48">DATE(EO$6,11,1)</f>
        <v>48519</v>
      </c>
      <c r="EZ48" s="38" cm="1">
        <f t="array" ref="EZ48">DATE(EO$6,12,1)</f>
        <v>48549</v>
      </c>
      <c r="FA48" s="39" cm="1">
        <f t="array" ref="FA48">EO$6</f>
        <v>2032</v>
      </c>
      <c r="FB48" s="41"/>
    </row>
    <row r="49" spans="3:158" ht="16" customHeight="1" x14ac:dyDescent="0.2">
      <c r="C49" s="35" t="s">
        <v>21</v>
      </c>
      <c r="D49" s="22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 cm="1">
        <f t="array" ref="Q49">SUM(E49:P49)</f>
        <v>0</v>
      </c>
      <c r="R49" s="41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 cm="1">
        <f t="array" ref="AE49">SUM(S49:AD49)</f>
        <v>0</v>
      </c>
      <c r="AF49" s="41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 cm="1">
        <f t="array" ref="AS49">SUM(AG49:AR49)</f>
        <v>0</v>
      </c>
      <c r="AT49" s="41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 cm="1">
        <f t="array" ref="BG49">SUM(AU49:BF49)</f>
        <v>0</v>
      </c>
      <c r="BH49" s="41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 cm="1">
        <f t="array" ref="BU49">SUM(BI49:BT49)</f>
        <v>0</v>
      </c>
      <c r="BV49" s="41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 cm="1">
        <f t="array" ref="CI49">SUM(BW49:CH49)</f>
        <v>0</v>
      </c>
      <c r="CJ49" s="41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 cm="1">
        <f t="array" ref="CW49">SUM(CK49:CV49)</f>
        <v>0</v>
      </c>
      <c r="CX49" s="41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 cm="1">
        <f t="array" ref="DK49">SUM(CY49:DJ49)</f>
        <v>0</v>
      </c>
      <c r="DL49" s="41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 cm="1">
        <f t="array" ref="DY49">SUM(DM49:DX49)</f>
        <v>0</v>
      </c>
      <c r="DZ49" s="41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 cm="1">
        <f t="array" ref="EM49">SUM(EA49:EL49)</f>
        <v>0</v>
      </c>
      <c r="EN49" s="41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 cm="1">
        <f t="array" ref="FA49">SUM(EO49:EZ49)</f>
        <v>0</v>
      </c>
      <c r="FB49" s="41"/>
    </row>
    <row r="50" spans="3:158" ht="16" customHeight="1" x14ac:dyDescent="0.2">
      <c r="C50" s="35" t="s">
        <v>24</v>
      </c>
      <c r="D50" s="22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 cm="1">
        <f t="array" ref="Q50">SUM(E50:P50)</f>
        <v>0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 cm="1">
        <f t="array" ref="AE50">SUM(S50:AD50)</f>
        <v>0</v>
      </c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 cm="1">
        <f t="array" ref="AS50">SUM(AG50:AR50)</f>
        <v>0</v>
      </c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 cm="1">
        <f t="array" ref="BG50">SUM(AU50:BF50)</f>
        <v>0</v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 cm="1">
        <f t="array" ref="BU50">SUM(BI50:BT50)</f>
        <v>0</v>
      </c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 cm="1">
        <f t="array" ref="CI50">SUM(BW50:CH50)</f>
        <v>0</v>
      </c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 cm="1">
        <f t="array" ref="CW50">SUM(CK50:CV50)</f>
        <v>0</v>
      </c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 cm="1">
        <f t="array" ref="DK50">SUM(CY50:DJ50)</f>
        <v>0</v>
      </c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 cm="1">
        <f t="array" ref="DY50">SUM(DM50:DX50)</f>
        <v>0</v>
      </c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 cm="1">
        <f t="array" ref="EM50">SUM(EA50:EL50)</f>
        <v>0</v>
      </c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 cm="1">
        <f t="array" ref="FA50">SUM(EO50:EZ50)</f>
        <v>0</v>
      </c>
    </row>
    <row r="51" spans="3:158" ht="16" customHeight="1" x14ac:dyDescent="0.2">
      <c r="C51" s="35" t="s">
        <v>15</v>
      </c>
      <c r="D51" s="22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 cm="1">
        <f t="array" ref="Q51">SUM(E51:P51)</f>
        <v>0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 cm="1">
        <f t="array" ref="AE51">SUM(S51:AD51)</f>
        <v>0</v>
      </c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 cm="1">
        <f t="array" ref="AS51">SUM(AG51:AR51)</f>
        <v>0</v>
      </c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 cm="1">
        <f t="array" ref="BG51">SUM(AU51:BF51)</f>
        <v>0</v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 cm="1">
        <f t="array" ref="BU51">SUM(BI51:BT51)</f>
        <v>0</v>
      </c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 cm="1">
        <f t="array" ref="CI51">SUM(BW51:CH51)</f>
        <v>0</v>
      </c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 cm="1">
        <f t="array" ref="CW51">SUM(CK51:CV51)</f>
        <v>0</v>
      </c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 cm="1">
        <f t="array" ref="DK51">SUM(CY51:DJ51)</f>
        <v>0</v>
      </c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 cm="1">
        <f t="array" ref="DY51">SUM(DM51:DX51)</f>
        <v>0</v>
      </c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 cm="1">
        <f t="array" ref="EM51">SUM(EA51:EL51)</f>
        <v>0</v>
      </c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 cm="1">
        <f t="array" ref="FA51">SUM(EO51:EZ51)</f>
        <v>0</v>
      </c>
    </row>
    <row r="52" spans="3:158" ht="16" customHeight="1" x14ac:dyDescent="0.2">
      <c r="C52" s="32" t="s">
        <v>33</v>
      </c>
      <c r="D52" s="2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 cm="1">
        <f t="array" ref="Q52">SUM(E52:P52)</f>
        <v>0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 cm="1">
        <f t="array" ref="AE52">SUM(S52:AD52)</f>
        <v>0</v>
      </c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 cm="1">
        <f t="array" ref="AS52">SUM(AG52:AR52)</f>
        <v>0</v>
      </c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 cm="1">
        <f t="array" ref="BG52">SUM(AU52:BF52)</f>
        <v>0</v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 cm="1">
        <f t="array" ref="BU52">SUM(BI52:BT52)</f>
        <v>0</v>
      </c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 cm="1">
        <f t="array" ref="CI52">SUM(BW52:CH52)</f>
        <v>0</v>
      </c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 cm="1">
        <f t="array" ref="CW52">SUM(CK52:CV52)</f>
        <v>0</v>
      </c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 cm="1">
        <f t="array" ref="DK52">SUM(CY52:DJ52)</f>
        <v>0</v>
      </c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 cm="1">
        <f t="array" ref="DY52">SUM(DM52:DX52)</f>
        <v>0</v>
      </c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 cm="1">
        <f t="array" ref="EM52">SUM(EA52:EL52)</f>
        <v>0</v>
      </c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 cm="1">
        <f t="array" ref="FA52">SUM(EO52:EZ52)</f>
        <v>0</v>
      </c>
    </row>
    <row r="53" spans="3:158" ht="16" customHeight="1" x14ac:dyDescent="0.2">
      <c r="C53" s="32" t="s">
        <v>34</v>
      </c>
      <c r="D53" s="2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 cm="1">
        <f t="array" ref="Q53">SUM(E53:P53)</f>
        <v>0</v>
      </c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 cm="1">
        <f t="array" ref="AE53">SUM(S53:AD53)</f>
        <v>0</v>
      </c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 cm="1">
        <f t="array" ref="AS53">SUM(AG53:AR53)</f>
        <v>0</v>
      </c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 cm="1">
        <f t="array" ref="BG53">SUM(AU53:BF53)</f>
        <v>0</v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 cm="1">
        <f t="array" ref="BU53">SUM(BI53:BT53)</f>
        <v>0</v>
      </c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 cm="1">
        <f t="array" ref="CI53">SUM(BW53:CH53)</f>
        <v>0</v>
      </c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 cm="1">
        <f t="array" ref="CW53">SUM(CK53:CV53)</f>
        <v>0</v>
      </c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 cm="1">
        <f t="array" ref="DK53">SUM(CY53:DJ53)</f>
        <v>0</v>
      </c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 cm="1">
        <f t="array" ref="DY53">SUM(DM53:DX53)</f>
        <v>0</v>
      </c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 cm="1">
        <f t="array" ref="EM53">SUM(EA53:EL53)</f>
        <v>0</v>
      </c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 cm="1">
        <f t="array" ref="FA53">SUM(EO53:EZ53)</f>
        <v>0</v>
      </c>
    </row>
    <row r="54" spans="3:158" ht="16" customHeight="1" x14ac:dyDescent="0.2">
      <c r="C54" s="32" t="s">
        <v>35</v>
      </c>
      <c r="D54" s="2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 cm="1">
        <f t="array" ref="Q54">SUM(E54:P54)</f>
        <v>0</v>
      </c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 cm="1">
        <f t="array" ref="AE54">SUM(S54:AD54)</f>
        <v>0</v>
      </c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 cm="1">
        <f t="array" ref="AS54">SUM(AG54:AR54)</f>
        <v>0</v>
      </c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 cm="1">
        <f t="array" ref="BG54">SUM(AU54:BF54)</f>
        <v>0</v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 cm="1">
        <f t="array" ref="BU54">SUM(BI54:BT54)</f>
        <v>0</v>
      </c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 cm="1">
        <f t="array" ref="CI54">SUM(BW54:CH54)</f>
        <v>0</v>
      </c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 cm="1">
        <f t="array" ref="CW54">SUM(CK54:CV54)</f>
        <v>0</v>
      </c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 cm="1">
        <f t="array" ref="DK54">SUM(CY54:DJ54)</f>
        <v>0</v>
      </c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 cm="1">
        <f t="array" ref="DY54">SUM(DM54:DX54)</f>
        <v>0</v>
      </c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 cm="1">
        <f t="array" ref="EM54">SUM(EA54:EL54)</f>
        <v>0</v>
      </c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 cm="1">
        <f t="array" ref="FA54">SUM(EO54:EZ54)</f>
        <v>0</v>
      </c>
    </row>
    <row r="55" spans="3:158" ht="16" hidden="1" customHeight="1" x14ac:dyDescent="0.2">
      <c r="C55" s="32" t="s">
        <v>9</v>
      </c>
      <c r="D55" s="2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 cm="1">
        <f t="array" ref="Q55">SUM(E55:P55)</f>
        <v>0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 cm="1">
        <f t="array" ref="AE55">SUM(S55:AD55)</f>
        <v>0</v>
      </c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 cm="1">
        <f t="array" ref="AS55">SUM(AG55:AR55)</f>
        <v>0</v>
      </c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 cm="1">
        <f t="array" ref="BG55">SUM(AU55:BF55)</f>
        <v>0</v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 cm="1">
        <f t="array" ref="BU55">SUM(BI55:BT55)</f>
        <v>0</v>
      </c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 cm="1">
        <f t="array" ref="CI55">SUM(BW55:CH55)</f>
        <v>0</v>
      </c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 cm="1">
        <f t="array" ref="CW55">SUM(CK55:CV55)</f>
        <v>0</v>
      </c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 cm="1">
        <f t="array" ref="DK55">SUM(CY55:DJ55)</f>
        <v>0</v>
      </c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 cm="1">
        <f t="array" ref="DY55">SUM(DM55:DX55)</f>
        <v>0</v>
      </c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 cm="1">
        <f t="array" ref="EM55">SUM(EA55:EL55)</f>
        <v>0</v>
      </c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 cm="1">
        <f t="array" ref="FA55">SUM(EO55:EZ55)</f>
        <v>0</v>
      </c>
    </row>
    <row r="56" spans="3:158" ht="16" hidden="1" customHeight="1" x14ac:dyDescent="0.2">
      <c r="C56" s="32" t="s">
        <v>9</v>
      </c>
      <c r="D56" s="2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 cm="1">
        <f t="array" ref="Q56">SUM(E56:P56)</f>
        <v>0</v>
      </c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 cm="1">
        <f t="array" ref="AE56">SUM(S56:AD56)</f>
        <v>0</v>
      </c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 cm="1">
        <f t="array" ref="AS56">SUM(AG56:AR56)</f>
        <v>0</v>
      </c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 cm="1">
        <f t="array" ref="BG56">SUM(AU56:BF56)</f>
        <v>0</v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 cm="1">
        <f t="array" ref="BU56">SUM(BI56:BT56)</f>
        <v>0</v>
      </c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 cm="1">
        <f t="array" ref="CI56">SUM(BW56:CH56)</f>
        <v>0</v>
      </c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 cm="1">
        <f t="array" ref="CW56">SUM(CK56:CV56)</f>
        <v>0</v>
      </c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 cm="1">
        <f t="array" ref="DK56">SUM(CY56:DJ56)</f>
        <v>0</v>
      </c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 cm="1">
        <f t="array" ref="DY56">SUM(DM56:DX56)</f>
        <v>0</v>
      </c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 cm="1">
        <f t="array" ref="EM56">SUM(EA56:EL56)</f>
        <v>0</v>
      </c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 cm="1">
        <f t="array" ref="FA56">SUM(EO56:EZ56)</f>
        <v>0</v>
      </c>
    </row>
    <row r="57" spans="3:158" ht="16" hidden="1" customHeight="1" x14ac:dyDescent="0.2">
      <c r="C57" s="32" t="s">
        <v>9</v>
      </c>
      <c r="D57" s="2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 cm="1">
        <f t="array" ref="Q57">SUM(E57:P57)</f>
        <v>0</v>
      </c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 cm="1">
        <f t="array" ref="AE57">SUM(S57:AD57)</f>
        <v>0</v>
      </c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 cm="1">
        <f t="array" ref="AS57">SUM(AG57:AR57)</f>
        <v>0</v>
      </c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 cm="1">
        <f t="array" ref="BG57">SUM(AU57:BF57)</f>
        <v>0</v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 cm="1">
        <f t="array" ref="BU57">SUM(BI57:BT57)</f>
        <v>0</v>
      </c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 cm="1">
        <f t="array" ref="CI57">SUM(BW57:CH57)</f>
        <v>0</v>
      </c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 cm="1">
        <f t="array" ref="CW57">SUM(CK57:CV57)</f>
        <v>0</v>
      </c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 cm="1">
        <f t="array" ref="DK57">SUM(CY57:DJ57)</f>
        <v>0</v>
      </c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 cm="1">
        <f t="array" ref="DY57">SUM(DM57:DX57)</f>
        <v>0</v>
      </c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 cm="1">
        <f t="array" ref="EM57">SUM(EA57:EL57)</f>
        <v>0</v>
      </c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 cm="1">
        <f t="array" ref="FA57">SUM(EO57:EZ57)</f>
        <v>0</v>
      </c>
    </row>
    <row r="58" spans="3:158" ht="16" hidden="1" customHeight="1" x14ac:dyDescent="0.2">
      <c r="C58" s="32" t="s">
        <v>9</v>
      </c>
      <c r="D58" s="2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 cm="1">
        <f t="array" ref="Q58">SUM(E58:P58)</f>
        <v>0</v>
      </c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 cm="1">
        <f t="array" ref="AE58">SUM(S58:AD58)</f>
        <v>0</v>
      </c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 cm="1">
        <f t="array" ref="AS58">SUM(AG58:AR58)</f>
        <v>0</v>
      </c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 cm="1">
        <f t="array" ref="BG58">SUM(AU58:BF58)</f>
        <v>0</v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 cm="1">
        <f t="array" ref="BU58">SUM(BI58:BT58)</f>
        <v>0</v>
      </c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 cm="1">
        <f t="array" ref="CI58">SUM(BW58:CH58)</f>
        <v>0</v>
      </c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 cm="1">
        <f t="array" ref="CW58">SUM(CK58:CV58)</f>
        <v>0</v>
      </c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 cm="1">
        <f t="array" ref="DK58">SUM(CY58:DJ58)</f>
        <v>0</v>
      </c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 cm="1">
        <f t="array" ref="DY58">SUM(DM58:DX58)</f>
        <v>0</v>
      </c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 cm="1">
        <f t="array" ref="EM58">SUM(EA58:EL58)</f>
        <v>0</v>
      </c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 cm="1">
        <f t="array" ref="FA58">SUM(EO58:EZ58)</f>
        <v>0</v>
      </c>
    </row>
    <row r="59" spans="3:158" ht="16" hidden="1" customHeight="1" x14ac:dyDescent="0.2">
      <c r="C59" s="32" t="s">
        <v>9</v>
      </c>
      <c r="D59" s="2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 cm="1">
        <f t="array" ref="Q59">SUM(E59:P59)</f>
        <v>0</v>
      </c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 cm="1">
        <f t="array" ref="AE59">SUM(S59:AD59)</f>
        <v>0</v>
      </c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 cm="1">
        <f t="array" ref="AS59">SUM(AG59:AR59)</f>
        <v>0</v>
      </c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 cm="1">
        <f t="array" ref="BG59">SUM(AU59:BF59)</f>
        <v>0</v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 cm="1">
        <f t="array" ref="BU59">SUM(BI59:BT59)</f>
        <v>0</v>
      </c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 cm="1">
        <f t="array" ref="CI59">SUM(BW59:CH59)</f>
        <v>0</v>
      </c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 cm="1">
        <f t="array" ref="CW59">SUM(CK59:CV59)</f>
        <v>0</v>
      </c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 cm="1">
        <f t="array" ref="DK59">SUM(CY59:DJ59)</f>
        <v>0</v>
      </c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 cm="1">
        <f t="array" ref="DY59">SUM(DM59:DX59)</f>
        <v>0</v>
      </c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 cm="1">
        <f t="array" ref="EM59">SUM(EA59:EL59)</f>
        <v>0</v>
      </c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 cm="1">
        <f t="array" ref="FA59">SUM(EO59:EZ59)</f>
        <v>0</v>
      </c>
    </row>
    <row r="60" spans="3:158" ht="16" hidden="1" customHeight="1" x14ac:dyDescent="0.2">
      <c r="C60" s="32" t="s">
        <v>9</v>
      </c>
      <c r="D60" s="2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 cm="1">
        <f t="array" ref="Q60">SUM(E60:P60)</f>
        <v>0</v>
      </c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 cm="1">
        <f t="array" ref="AE60">SUM(S60:AD60)</f>
        <v>0</v>
      </c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 cm="1">
        <f t="array" ref="AS60">SUM(AG60:AR60)</f>
        <v>0</v>
      </c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 cm="1">
        <f t="array" ref="BG60">SUM(AU60:BF60)</f>
        <v>0</v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 cm="1">
        <f t="array" ref="BU60">SUM(BI60:BT60)</f>
        <v>0</v>
      </c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 cm="1">
        <f t="array" ref="CI60">SUM(BW60:CH60)</f>
        <v>0</v>
      </c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 cm="1">
        <f t="array" ref="CW60">SUM(CK60:CV60)</f>
        <v>0</v>
      </c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 cm="1">
        <f t="array" ref="DK60">SUM(CY60:DJ60)</f>
        <v>0</v>
      </c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 cm="1">
        <f t="array" ref="DY60">SUM(DM60:DX60)</f>
        <v>0</v>
      </c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 cm="1">
        <f t="array" ref="EM60">SUM(EA60:EL60)</f>
        <v>0</v>
      </c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 cm="1">
        <f t="array" ref="FA60">SUM(EO60:EZ60)</f>
        <v>0</v>
      </c>
    </row>
    <row r="61" spans="3:158" ht="16" hidden="1" customHeight="1" x14ac:dyDescent="0.2">
      <c r="C61" s="32" t="s">
        <v>9</v>
      </c>
      <c r="D61" s="2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 cm="1">
        <f t="array" ref="Q61">SUM(E61:P61)</f>
        <v>0</v>
      </c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 cm="1">
        <f t="array" ref="AE61">SUM(S61:AD61)</f>
        <v>0</v>
      </c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 cm="1">
        <f t="array" ref="AS61">SUM(AG61:AR61)</f>
        <v>0</v>
      </c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 cm="1">
        <f t="array" ref="BG61">SUM(AU61:BF61)</f>
        <v>0</v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 cm="1">
        <f t="array" ref="BU61">SUM(BI61:BT61)</f>
        <v>0</v>
      </c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 cm="1">
        <f t="array" ref="CI61">SUM(BW61:CH61)</f>
        <v>0</v>
      </c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 cm="1">
        <f t="array" ref="CW61">SUM(CK61:CV61)</f>
        <v>0</v>
      </c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 cm="1">
        <f t="array" ref="DK61">SUM(CY61:DJ61)</f>
        <v>0</v>
      </c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 cm="1">
        <f t="array" ref="DY61">SUM(DM61:DX61)</f>
        <v>0</v>
      </c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 cm="1">
        <f t="array" ref="EM61">SUM(EA61:EL61)</f>
        <v>0</v>
      </c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 cm="1">
        <f t="array" ref="FA61">SUM(EO61:EZ61)</f>
        <v>0</v>
      </c>
    </row>
    <row r="62" spans="3:158" ht="16" hidden="1" customHeight="1" x14ac:dyDescent="0.2">
      <c r="C62" s="32" t="s">
        <v>9</v>
      </c>
      <c r="D62" s="2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 cm="1">
        <f t="array" ref="Q62">SUM(E62:P62)</f>
        <v>0</v>
      </c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 cm="1">
        <f t="array" ref="AE62">SUM(S62:AD62)</f>
        <v>0</v>
      </c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 cm="1">
        <f t="array" ref="AS62">SUM(AG62:AR62)</f>
        <v>0</v>
      </c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 cm="1">
        <f t="array" ref="BG62">SUM(AU62:BF62)</f>
        <v>0</v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 cm="1">
        <f t="array" ref="BU62">SUM(BI62:BT62)</f>
        <v>0</v>
      </c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 cm="1">
        <f t="array" ref="CI62">SUM(BW62:CH62)</f>
        <v>0</v>
      </c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 cm="1">
        <f t="array" ref="CW62">SUM(CK62:CV62)</f>
        <v>0</v>
      </c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 cm="1">
        <f t="array" ref="DK62">SUM(CY62:DJ62)</f>
        <v>0</v>
      </c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 cm="1">
        <f t="array" ref="DY62">SUM(DM62:DX62)</f>
        <v>0</v>
      </c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 cm="1">
        <f t="array" ref="EM62">SUM(EA62:EL62)</f>
        <v>0</v>
      </c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 cm="1">
        <f t="array" ref="FA62">SUM(EO62:EZ62)</f>
        <v>0</v>
      </c>
    </row>
    <row r="63" spans="3:158" ht="16" hidden="1" customHeight="1" x14ac:dyDescent="0.2">
      <c r="C63" s="32" t="s">
        <v>9</v>
      </c>
      <c r="D63" s="2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 cm="1">
        <f t="array" ref="Q63">SUM(E63:P63)</f>
        <v>0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 cm="1">
        <f t="array" ref="AE63">SUM(S63:AD63)</f>
        <v>0</v>
      </c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 cm="1">
        <f t="array" ref="AS63">SUM(AG63:AR63)</f>
        <v>0</v>
      </c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 cm="1">
        <f t="array" ref="BG63">SUM(AU63:BF63)</f>
        <v>0</v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 cm="1">
        <f t="array" ref="BU63">SUM(BI63:BT63)</f>
        <v>0</v>
      </c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 cm="1">
        <f t="array" ref="CI63">SUM(BW63:CH63)</f>
        <v>0</v>
      </c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 cm="1">
        <f t="array" ref="CW63">SUM(CK63:CV63)</f>
        <v>0</v>
      </c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 cm="1">
        <f t="array" ref="DK63">SUM(CY63:DJ63)</f>
        <v>0</v>
      </c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 cm="1">
        <f t="array" ref="DY63">SUM(DM63:DX63)</f>
        <v>0</v>
      </c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 cm="1">
        <f t="array" ref="EM63">SUM(EA63:EL63)</f>
        <v>0</v>
      </c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 cm="1">
        <f t="array" ref="FA63">SUM(EO63:EZ63)</f>
        <v>0</v>
      </c>
    </row>
    <row r="64" spans="3:158" ht="16" hidden="1" customHeight="1" x14ac:dyDescent="0.2">
      <c r="C64" s="32" t="s">
        <v>9</v>
      </c>
      <c r="D64" s="1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 cm="1">
        <f t="array" ref="Q64">SUM(E64:P64)</f>
        <v>0</v>
      </c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 cm="1">
        <f t="array" ref="AE64">SUM(S64:AD64)</f>
        <v>0</v>
      </c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 cm="1">
        <f t="array" ref="AS64">SUM(AG64:AR64)</f>
        <v>0</v>
      </c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 cm="1">
        <f t="array" ref="BG64">SUM(AU64:BF64)</f>
        <v>0</v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 cm="1">
        <f t="array" ref="BU64">SUM(BI64:BT64)</f>
        <v>0</v>
      </c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 cm="1">
        <f t="array" ref="CI64">SUM(BW64:CH64)</f>
        <v>0</v>
      </c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 cm="1">
        <f t="array" ref="CW64">SUM(CK64:CV64)</f>
        <v>0</v>
      </c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 cm="1">
        <f t="array" ref="DK64">SUM(CY64:DJ64)</f>
        <v>0</v>
      </c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 cm="1">
        <f t="array" ref="DY64">SUM(DM64:DX64)</f>
        <v>0</v>
      </c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 cm="1">
        <f t="array" ref="EM64">SUM(EA64:EL64)</f>
        <v>0</v>
      </c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 cm="1">
        <f t="array" ref="FA64">SUM(EO64:EZ64)</f>
        <v>0</v>
      </c>
    </row>
    <row r="65" spans="3:157" ht="16" customHeight="1" x14ac:dyDescent="0.2">
      <c r="C65" s="27" t="s">
        <v>10</v>
      </c>
      <c r="D65" s="14"/>
      <c r="E65" s="28" cm="1">
        <f t="array" aca="1" ref="E65" ca="1">SUM(INDIRECT(ADDRESS(savings_min_row, COLUMN()) &amp; ":" &amp; ADDRESS(savings_max_row, COLUMN())))</f>
        <v>0</v>
      </c>
      <c r="F65" s="28" cm="1">
        <f t="array" aca="1" ref="F65" ca="1">SUM(INDIRECT(ADDRESS(savings_min_row, COLUMN()) &amp; ":" &amp; ADDRESS(savings_max_row, COLUMN())))</f>
        <v>0</v>
      </c>
      <c r="G65" s="28" cm="1">
        <f t="array" aca="1" ref="G65" ca="1">SUM(INDIRECT(ADDRESS(savings_min_row, COLUMN()) &amp; ":" &amp; ADDRESS(savings_max_row, COLUMN())))</f>
        <v>0</v>
      </c>
      <c r="H65" s="28" cm="1">
        <f t="array" aca="1" ref="H65" ca="1">SUM(INDIRECT(ADDRESS(savings_min_row, COLUMN()) &amp; ":" &amp; ADDRESS(savings_max_row, COLUMN())))</f>
        <v>0</v>
      </c>
      <c r="I65" s="28" cm="1">
        <f t="array" aca="1" ref="I65" ca="1">SUM(INDIRECT(ADDRESS(savings_min_row, COLUMN()) &amp; ":" &amp; ADDRESS(savings_max_row, COLUMN())))</f>
        <v>0</v>
      </c>
      <c r="J65" s="28" cm="1">
        <f t="array" aca="1" ref="J65" ca="1">SUM(INDIRECT(ADDRESS(savings_min_row, COLUMN()) &amp; ":" &amp; ADDRESS(savings_max_row, COLUMN())))</f>
        <v>0</v>
      </c>
      <c r="K65" s="28" cm="1">
        <f t="array" aca="1" ref="K65" ca="1">SUM(INDIRECT(ADDRESS(savings_min_row, COLUMN()) &amp; ":" &amp; ADDRESS(savings_max_row, COLUMN())))</f>
        <v>0</v>
      </c>
      <c r="L65" s="28" cm="1">
        <f t="array" aca="1" ref="L65" ca="1">SUM(INDIRECT(ADDRESS(savings_min_row, COLUMN()) &amp; ":" &amp; ADDRESS(savings_max_row, COLUMN())))</f>
        <v>0</v>
      </c>
      <c r="M65" s="28" cm="1">
        <f t="array" aca="1" ref="M65" ca="1">SUM(INDIRECT(ADDRESS(savings_min_row, COLUMN()) &amp; ":" &amp; ADDRESS(savings_max_row, COLUMN())))</f>
        <v>0</v>
      </c>
      <c r="N65" s="28" cm="1">
        <f t="array" aca="1" ref="N65" ca="1">SUM(INDIRECT(ADDRESS(savings_min_row, COLUMN()) &amp; ":" &amp; ADDRESS(savings_max_row, COLUMN())))</f>
        <v>0</v>
      </c>
      <c r="O65" s="28" cm="1">
        <f t="array" aca="1" ref="O65" ca="1">SUM(INDIRECT(ADDRESS(savings_min_row, COLUMN()) &amp; ":" &amp; ADDRESS(savings_max_row, COLUMN())))</f>
        <v>0</v>
      </c>
      <c r="P65" s="28" cm="1">
        <f t="array" aca="1" ref="P65" ca="1">SUM(INDIRECT(ADDRESS(savings_min_row, COLUMN()) &amp; ":" &amp; ADDRESS(savings_max_row, COLUMN())))</f>
        <v>0</v>
      </c>
      <c r="Q65" s="28" cm="1">
        <f t="array" aca="1" ref="Q65" ca="1">SUM(INDIRECT(ADDRESS(savings_min_row, COLUMN()) &amp; ":" &amp; ADDRESS(savings_max_row, COLUMN())))</f>
        <v>0</v>
      </c>
      <c r="S65" s="28" cm="1">
        <f t="array" aca="1" ref="S65" ca="1">SUM(INDIRECT(ADDRESS(savings_min_row, COLUMN()) &amp; ":" &amp; ADDRESS(savings_max_row, COLUMN())))</f>
        <v>0</v>
      </c>
      <c r="T65" s="28" cm="1">
        <f t="array" aca="1" ref="T65" ca="1">SUM(INDIRECT(ADDRESS(savings_min_row, COLUMN()) &amp; ":" &amp; ADDRESS(savings_max_row, COLUMN())))</f>
        <v>0</v>
      </c>
      <c r="U65" s="28" cm="1">
        <f t="array" aca="1" ref="U65" ca="1">SUM(INDIRECT(ADDRESS(savings_min_row, COLUMN()) &amp; ":" &amp; ADDRESS(savings_max_row, COLUMN())))</f>
        <v>0</v>
      </c>
      <c r="V65" s="28" cm="1">
        <f t="array" aca="1" ref="V65" ca="1">SUM(INDIRECT(ADDRESS(savings_min_row, COLUMN()) &amp; ":" &amp; ADDRESS(savings_max_row, COLUMN())))</f>
        <v>0</v>
      </c>
      <c r="W65" s="28" cm="1">
        <f t="array" aca="1" ref="W65" ca="1">SUM(INDIRECT(ADDRESS(savings_min_row, COLUMN()) &amp; ":" &amp; ADDRESS(savings_max_row, COLUMN())))</f>
        <v>0</v>
      </c>
      <c r="X65" s="28" cm="1">
        <f t="array" aca="1" ref="X65" ca="1">SUM(INDIRECT(ADDRESS(savings_min_row, COLUMN()) &amp; ":" &amp; ADDRESS(savings_max_row, COLUMN())))</f>
        <v>0</v>
      </c>
      <c r="Y65" s="28" cm="1">
        <f t="array" aca="1" ref="Y65" ca="1">SUM(INDIRECT(ADDRESS(savings_min_row, COLUMN()) &amp; ":" &amp; ADDRESS(savings_max_row, COLUMN())))</f>
        <v>0</v>
      </c>
      <c r="Z65" s="28" cm="1">
        <f t="array" aca="1" ref="Z65" ca="1">SUM(INDIRECT(ADDRESS(savings_min_row, COLUMN()) &amp; ":" &amp; ADDRESS(savings_max_row, COLUMN())))</f>
        <v>0</v>
      </c>
      <c r="AA65" s="28" cm="1">
        <f t="array" aca="1" ref="AA65" ca="1">SUM(INDIRECT(ADDRESS(savings_min_row, COLUMN()) &amp; ":" &amp; ADDRESS(savings_max_row, COLUMN())))</f>
        <v>0</v>
      </c>
      <c r="AB65" s="28" cm="1">
        <f t="array" aca="1" ref="AB65" ca="1">SUM(INDIRECT(ADDRESS(savings_min_row, COLUMN()) &amp; ":" &amp; ADDRESS(savings_max_row, COLUMN())))</f>
        <v>0</v>
      </c>
      <c r="AC65" s="28" cm="1">
        <f t="array" aca="1" ref="AC65" ca="1">SUM(INDIRECT(ADDRESS(savings_min_row, COLUMN()) &amp; ":" &amp; ADDRESS(savings_max_row, COLUMN())))</f>
        <v>0</v>
      </c>
      <c r="AD65" s="28" cm="1">
        <f t="array" aca="1" ref="AD65" ca="1">SUM(INDIRECT(ADDRESS(savings_min_row, COLUMN()) &amp; ":" &amp; ADDRESS(savings_max_row, COLUMN())))</f>
        <v>0</v>
      </c>
      <c r="AE65" s="28" cm="1">
        <f t="array" aca="1" ref="AE65" ca="1">SUM(INDIRECT(ADDRESS(savings_min_row, COLUMN()) &amp; ":" &amp; ADDRESS(savings_max_row, COLUMN())))</f>
        <v>0</v>
      </c>
      <c r="AG65" s="28" cm="1">
        <f t="array" aca="1" ref="AG65" ca="1">SUM(INDIRECT(ADDRESS(savings_min_row, COLUMN()) &amp; ":" &amp; ADDRESS(savings_max_row, COLUMN())))</f>
        <v>0</v>
      </c>
      <c r="AH65" s="28" cm="1">
        <f t="array" aca="1" ref="AH65" ca="1">SUM(INDIRECT(ADDRESS(savings_min_row, COLUMN()) &amp; ":" &amp; ADDRESS(savings_max_row, COLUMN())))</f>
        <v>0</v>
      </c>
      <c r="AI65" s="28" cm="1">
        <f t="array" aca="1" ref="AI65" ca="1">SUM(INDIRECT(ADDRESS(savings_min_row, COLUMN()) &amp; ":" &amp; ADDRESS(savings_max_row, COLUMN())))</f>
        <v>0</v>
      </c>
      <c r="AJ65" s="28" cm="1">
        <f t="array" aca="1" ref="AJ65" ca="1">SUM(INDIRECT(ADDRESS(savings_min_row, COLUMN()) &amp; ":" &amp; ADDRESS(savings_max_row, COLUMN())))</f>
        <v>0</v>
      </c>
      <c r="AK65" s="28" cm="1">
        <f t="array" aca="1" ref="AK65" ca="1">SUM(INDIRECT(ADDRESS(savings_min_row, COLUMN()) &amp; ":" &amp; ADDRESS(savings_max_row, COLUMN())))</f>
        <v>0</v>
      </c>
      <c r="AL65" s="28" cm="1">
        <f t="array" aca="1" ref="AL65" ca="1">SUM(INDIRECT(ADDRESS(savings_min_row, COLUMN()) &amp; ":" &amp; ADDRESS(savings_max_row, COLUMN())))</f>
        <v>0</v>
      </c>
      <c r="AM65" s="28" cm="1">
        <f t="array" aca="1" ref="AM65" ca="1">SUM(INDIRECT(ADDRESS(savings_min_row, COLUMN()) &amp; ":" &amp; ADDRESS(savings_max_row, COLUMN())))</f>
        <v>0</v>
      </c>
      <c r="AN65" s="28" cm="1">
        <f t="array" aca="1" ref="AN65" ca="1">SUM(INDIRECT(ADDRESS(savings_min_row, COLUMN()) &amp; ":" &amp; ADDRESS(savings_max_row, COLUMN())))</f>
        <v>0</v>
      </c>
      <c r="AO65" s="28" cm="1">
        <f t="array" aca="1" ref="AO65" ca="1">SUM(INDIRECT(ADDRESS(savings_min_row, COLUMN()) &amp; ":" &amp; ADDRESS(savings_max_row, COLUMN())))</f>
        <v>0</v>
      </c>
      <c r="AP65" s="28" cm="1">
        <f t="array" aca="1" ref="AP65" ca="1">SUM(INDIRECT(ADDRESS(savings_min_row, COLUMN()) &amp; ":" &amp; ADDRESS(savings_max_row, COLUMN())))</f>
        <v>0</v>
      </c>
      <c r="AQ65" s="28" cm="1">
        <f t="array" aca="1" ref="AQ65" ca="1">SUM(INDIRECT(ADDRESS(savings_min_row, COLUMN()) &amp; ":" &amp; ADDRESS(savings_max_row, COLUMN())))</f>
        <v>0</v>
      </c>
      <c r="AR65" s="28" cm="1">
        <f t="array" aca="1" ref="AR65" ca="1">SUM(INDIRECT(ADDRESS(savings_min_row, COLUMN()) &amp; ":" &amp; ADDRESS(savings_max_row, COLUMN())))</f>
        <v>0</v>
      </c>
      <c r="AS65" s="28" cm="1">
        <f t="array" aca="1" ref="AS65" ca="1">SUM(INDIRECT(ADDRESS(savings_min_row, COLUMN()) &amp; ":" &amp; ADDRESS(savings_max_row, COLUMN())))</f>
        <v>0</v>
      </c>
      <c r="AU65" s="28" cm="1">
        <f t="array" aca="1" ref="AU65" ca="1">SUM(INDIRECT(ADDRESS(savings_min_row, COLUMN()) &amp; ":" &amp; ADDRESS(savings_max_row, COLUMN())))</f>
        <v>0</v>
      </c>
      <c r="AV65" s="28" cm="1">
        <f t="array" aca="1" ref="AV65" ca="1">SUM(INDIRECT(ADDRESS(savings_min_row, COLUMN()) &amp; ":" &amp; ADDRESS(savings_max_row, COLUMN())))</f>
        <v>0</v>
      </c>
      <c r="AW65" s="28" cm="1">
        <f t="array" aca="1" ref="AW65" ca="1">SUM(INDIRECT(ADDRESS(savings_min_row, COLUMN()) &amp; ":" &amp; ADDRESS(savings_max_row, COLUMN())))</f>
        <v>0</v>
      </c>
      <c r="AX65" s="28" cm="1">
        <f t="array" aca="1" ref="AX65" ca="1">SUM(INDIRECT(ADDRESS(savings_min_row, COLUMN()) &amp; ":" &amp; ADDRESS(savings_max_row, COLUMN())))</f>
        <v>0</v>
      </c>
      <c r="AY65" s="28" cm="1">
        <f t="array" aca="1" ref="AY65" ca="1">SUM(INDIRECT(ADDRESS(savings_min_row, COLUMN()) &amp; ":" &amp; ADDRESS(savings_max_row, COLUMN())))</f>
        <v>0</v>
      </c>
      <c r="AZ65" s="28" cm="1">
        <f t="array" aca="1" ref="AZ65" ca="1">SUM(INDIRECT(ADDRESS(savings_min_row, COLUMN()) &amp; ":" &amp; ADDRESS(savings_max_row, COLUMN())))</f>
        <v>0</v>
      </c>
      <c r="BA65" s="28" cm="1">
        <f t="array" aca="1" ref="BA65" ca="1">SUM(INDIRECT(ADDRESS(savings_min_row, COLUMN()) &amp; ":" &amp; ADDRESS(savings_max_row, COLUMN())))</f>
        <v>0</v>
      </c>
      <c r="BB65" s="28" cm="1">
        <f t="array" aca="1" ref="BB65" ca="1">SUM(INDIRECT(ADDRESS(savings_min_row, COLUMN()) &amp; ":" &amp; ADDRESS(savings_max_row, COLUMN())))</f>
        <v>0</v>
      </c>
      <c r="BC65" s="28" cm="1">
        <f t="array" aca="1" ref="BC65" ca="1">SUM(INDIRECT(ADDRESS(savings_min_row, COLUMN()) &amp; ":" &amp; ADDRESS(savings_max_row, COLUMN())))</f>
        <v>0</v>
      </c>
      <c r="BD65" s="28" cm="1">
        <f t="array" aca="1" ref="BD65" ca="1">SUM(INDIRECT(ADDRESS(savings_min_row, COLUMN()) &amp; ":" &amp; ADDRESS(savings_max_row, COLUMN())))</f>
        <v>0</v>
      </c>
      <c r="BE65" s="28" cm="1">
        <f t="array" aca="1" ref="BE65" ca="1">SUM(INDIRECT(ADDRESS(savings_min_row, COLUMN()) &amp; ":" &amp; ADDRESS(savings_max_row, COLUMN())))</f>
        <v>0</v>
      </c>
      <c r="BF65" s="28" cm="1">
        <f t="array" aca="1" ref="BF65" ca="1">SUM(INDIRECT(ADDRESS(savings_min_row, COLUMN()) &amp; ":" &amp; ADDRESS(savings_max_row, COLUMN())))</f>
        <v>0</v>
      </c>
      <c r="BG65" s="28" cm="1">
        <f t="array" aca="1" ref="BG65" ca="1">SUM(INDIRECT(ADDRESS(savings_min_row, COLUMN()) &amp; ":" &amp; ADDRESS(savings_max_row, COLUMN())))</f>
        <v>0</v>
      </c>
      <c r="BI65" s="28" cm="1">
        <f t="array" aca="1" ref="BI65" ca="1">SUM(INDIRECT(ADDRESS(savings_min_row, COLUMN()) &amp; ":" &amp; ADDRESS(savings_max_row, COLUMN())))</f>
        <v>0</v>
      </c>
      <c r="BJ65" s="28" cm="1">
        <f t="array" aca="1" ref="BJ65" ca="1">SUM(INDIRECT(ADDRESS(savings_min_row, COLUMN()) &amp; ":" &amp; ADDRESS(savings_max_row, COLUMN())))</f>
        <v>0</v>
      </c>
      <c r="BK65" s="28" cm="1">
        <f t="array" aca="1" ref="BK65" ca="1">SUM(INDIRECT(ADDRESS(savings_min_row, COLUMN()) &amp; ":" &amp; ADDRESS(savings_max_row, COLUMN())))</f>
        <v>0</v>
      </c>
      <c r="BL65" s="28" cm="1">
        <f t="array" aca="1" ref="BL65" ca="1">SUM(INDIRECT(ADDRESS(savings_min_row, COLUMN()) &amp; ":" &amp; ADDRESS(savings_max_row, COLUMN())))</f>
        <v>0</v>
      </c>
      <c r="BM65" s="28" cm="1">
        <f t="array" aca="1" ref="BM65" ca="1">SUM(INDIRECT(ADDRESS(savings_min_row, COLUMN()) &amp; ":" &amp; ADDRESS(savings_max_row, COLUMN())))</f>
        <v>0</v>
      </c>
      <c r="BN65" s="28" cm="1">
        <f t="array" aca="1" ref="BN65" ca="1">SUM(INDIRECT(ADDRESS(savings_min_row, COLUMN()) &amp; ":" &amp; ADDRESS(savings_max_row, COLUMN())))</f>
        <v>0</v>
      </c>
      <c r="BO65" s="28" cm="1">
        <f t="array" aca="1" ref="BO65" ca="1">SUM(INDIRECT(ADDRESS(savings_min_row, COLUMN()) &amp; ":" &amp; ADDRESS(savings_max_row, COLUMN())))</f>
        <v>0</v>
      </c>
      <c r="BP65" s="28" cm="1">
        <f t="array" aca="1" ref="BP65" ca="1">SUM(INDIRECT(ADDRESS(savings_min_row, COLUMN()) &amp; ":" &amp; ADDRESS(savings_max_row, COLUMN())))</f>
        <v>0</v>
      </c>
      <c r="BQ65" s="28" cm="1">
        <f t="array" aca="1" ref="BQ65" ca="1">SUM(INDIRECT(ADDRESS(savings_min_row, COLUMN()) &amp; ":" &amp; ADDRESS(savings_max_row, COLUMN())))</f>
        <v>0</v>
      </c>
      <c r="BR65" s="28" cm="1">
        <f t="array" aca="1" ref="BR65" ca="1">SUM(INDIRECT(ADDRESS(savings_min_row, COLUMN()) &amp; ":" &amp; ADDRESS(savings_max_row, COLUMN())))</f>
        <v>0</v>
      </c>
      <c r="BS65" s="28" cm="1">
        <f t="array" aca="1" ref="BS65" ca="1">SUM(INDIRECT(ADDRESS(savings_min_row, COLUMN()) &amp; ":" &amp; ADDRESS(savings_max_row, COLUMN())))</f>
        <v>0</v>
      </c>
      <c r="BT65" s="28" cm="1">
        <f t="array" aca="1" ref="BT65" ca="1">SUM(INDIRECT(ADDRESS(savings_min_row, COLUMN()) &amp; ":" &amp; ADDRESS(savings_max_row, COLUMN())))</f>
        <v>0</v>
      </c>
      <c r="BU65" s="28" cm="1">
        <f t="array" aca="1" ref="BU65" ca="1">SUM(INDIRECT(ADDRESS(savings_min_row, COLUMN()) &amp; ":" &amp; ADDRESS(savings_max_row, COLUMN())))</f>
        <v>0</v>
      </c>
      <c r="BW65" s="28" cm="1">
        <f t="array" aca="1" ref="BW65" ca="1">SUM(INDIRECT(ADDRESS(savings_min_row, COLUMN()) &amp; ":" &amp; ADDRESS(savings_max_row, COLUMN())))</f>
        <v>0</v>
      </c>
      <c r="BX65" s="28" cm="1">
        <f t="array" aca="1" ref="BX65" ca="1">SUM(INDIRECT(ADDRESS(savings_min_row, COLUMN()) &amp; ":" &amp; ADDRESS(savings_max_row, COLUMN())))</f>
        <v>0</v>
      </c>
      <c r="BY65" s="28" cm="1">
        <f t="array" aca="1" ref="BY65" ca="1">SUM(INDIRECT(ADDRESS(savings_min_row, COLUMN()) &amp; ":" &amp; ADDRESS(savings_max_row, COLUMN())))</f>
        <v>0</v>
      </c>
      <c r="BZ65" s="28" cm="1">
        <f t="array" aca="1" ref="BZ65" ca="1">SUM(INDIRECT(ADDRESS(savings_min_row, COLUMN()) &amp; ":" &amp; ADDRESS(savings_max_row, COLUMN())))</f>
        <v>0</v>
      </c>
      <c r="CA65" s="28" cm="1">
        <f t="array" aca="1" ref="CA65" ca="1">SUM(INDIRECT(ADDRESS(savings_min_row, COLUMN()) &amp; ":" &amp; ADDRESS(savings_max_row, COLUMN())))</f>
        <v>0</v>
      </c>
      <c r="CB65" s="28" cm="1">
        <f t="array" aca="1" ref="CB65" ca="1">SUM(INDIRECT(ADDRESS(savings_min_row, COLUMN()) &amp; ":" &amp; ADDRESS(savings_max_row, COLUMN())))</f>
        <v>0</v>
      </c>
      <c r="CC65" s="28" cm="1">
        <f t="array" aca="1" ref="CC65" ca="1">SUM(INDIRECT(ADDRESS(savings_min_row, COLUMN()) &amp; ":" &amp; ADDRESS(savings_max_row, COLUMN())))</f>
        <v>0</v>
      </c>
      <c r="CD65" s="28" cm="1">
        <f t="array" aca="1" ref="CD65" ca="1">SUM(INDIRECT(ADDRESS(savings_min_row, COLUMN()) &amp; ":" &amp; ADDRESS(savings_max_row, COLUMN())))</f>
        <v>0</v>
      </c>
      <c r="CE65" s="28" cm="1">
        <f t="array" aca="1" ref="CE65" ca="1">SUM(INDIRECT(ADDRESS(savings_min_row, COLUMN()) &amp; ":" &amp; ADDRESS(savings_max_row, COLUMN())))</f>
        <v>0</v>
      </c>
      <c r="CF65" s="28" cm="1">
        <f t="array" aca="1" ref="CF65" ca="1">SUM(INDIRECT(ADDRESS(savings_min_row, COLUMN()) &amp; ":" &amp; ADDRESS(savings_max_row, COLUMN())))</f>
        <v>0</v>
      </c>
      <c r="CG65" s="28" cm="1">
        <f t="array" aca="1" ref="CG65" ca="1">SUM(INDIRECT(ADDRESS(savings_min_row, COLUMN()) &amp; ":" &amp; ADDRESS(savings_max_row, COLUMN())))</f>
        <v>0</v>
      </c>
      <c r="CH65" s="28" cm="1">
        <f t="array" aca="1" ref="CH65" ca="1">SUM(INDIRECT(ADDRESS(savings_min_row, COLUMN()) &amp; ":" &amp; ADDRESS(savings_max_row, COLUMN())))</f>
        <v>0</v>
      </c>
      <c r="CI65" s="28" cm="1">
        <f t="array" aca="1" ref="CI65" ca="1">SUM(INDIRECT(ADDRESS(savings_min_row, COLUMN()) &amp; ":" &amp; ADDRESS(savings_max_row, COLUMN())))</f>
        <v>0</v>
      </c>
      <c r="CK65" s="28" cm="1">
        <f t="array" aca="1" ref="CK65" ca="1">SUM(INDIRECT(ADDRESS(savings_min_row, COLUMN()) &amp; ":" &amp; ADDRESS(savings_max_row, COLUMN())))</f>
        <v>0</v>
      </c>
      <c r="CL65" s="28" cm="1">
        <f t="array" aca="1" ref="CL65" ca="1">SUM(INDIRECT(ADDRESS(savings_min_row, COLUMN()) &amp; ":" &amp; ADDRESS(savings_max_row, COLUMN())))</f>
        <v>0</v>
      </c>
      <c r="CM65" s="28" cm="1">
        <f t="array" aca="1" ref="CM65" ca="1">SUM(INDIRECT(ADDRESS(savings_min_row, COLUMN()) &amp; ":" &amp; ADDRESS(savings_max_row, COLUMN())))</f>
        <v>0</v>
      </c>
      <c r="CN65" s="28" cm="1">
        <f t="array" aca="1" ref="CN65" ca="1">SUM(INDIRECT(ADDRESS(savings_min_row, COLUMN()) &amp; ":" &amp; ADDRESS(savings_max_row, COLUMN())))</f>
        <v>0</v>
      </c>
      <c r="CO65" s="28" cm="1">
        <f t="array" aca="1" ref="CO65" ca="1">SUM(INDIRECT(ADDRESS(savings_min_row, COLUMN()) &amp; ":" &amp; ADDRESS(savings_max_row, COLUMN())))</f>
        <v>0</v>
      </c>
      <c r="CP65" s="28" cm="1">
        <f t="array" aca="1" ref="CP65" ca="1">SUM(INDIRECT(ADDRESS(savings_min_row, COLUMN()) &amp; ":" &amp; ADDRESS(savings_max_row, COLUMN())))</f>
        <v>0</v>
      </c>
      <c r="CQ65" s="28" cm="1">
        <f t="array" aca="1" ref="CQ65" ca="1">SUM(INDIRECT(ADDRESS(savings_min_row, COLUMN()) &amp; ":" &amp; ADDRESS(savings_max_row, COLUMN())))</f>
        <v>0</v>
      </c>
      <c r="CR65" s="28" cm="1">
        <f t="array" aca="1" ref="CR65" ca="1">SUM(INDIRECT(ADDRESS(savings_min_row, COLUMN()) &amp; ":" &amp; ADDRESS(savings_max_row, COLUMN())))</f>
        <v>0</v>
      </c>
      <c r="CS65" s="28" cm="1">
        <f t="array" aca="1" ref="CS65" ca="1">SUM(INDIRECT(ADDRESS(savings_min_row, COLUMN()) &amp; ":" &amp; ADDRESS(savings_max_row, COLUMN())))</f>
        <v>0</v>
      </c>
      <c r="CT65" s="28" cm="1">
        <f t="array" aca="1" ref="CT65" ca="1">SUM(INDIRECT(ADDRESS(savings_min_row, COLUMN()) &amp; ":" &amp; ADDRESS(savings_max_row, COLUMN())))</f>
        <v>0</v>
      </c>
      <c r="CU65" s="28" cm="1">
        <f t="array" aca="1" ref="CU65" ca="1">SUM(INDIRECT(ADDRESS(savings_min_row, COLUMN()) &amp; ":" &amp; ADDRESS(savings_max_row, COLUMN())))</f>
        <v>0</v>
      </c>
      <c r="CV65" s="28" cm="1">
        <f t="array" aca="1" ref="CV65" ca="1">SUM(INDIRECT(ADDRESS(savings_min_row, COLUMN()) &amp; ":" &amp; ADDRESS(savings_max_row, COLUMN())))</f>
        <v>0</v>
      </c>
      <c r="CW65" s="28" cm="1">
        <f t="array" aca="1" ref="CW65" ca="1">SUM(INDIRECT(ADDRESS(savings_min_row, COLUMN()) &amp; ":" &amp; ADDRESS(savings_max_row, COLUMN())))</f>
        <v>0</v>
      </c>
      <c r="CY65" s="28" cm="1">
        <f t="array" aca="1" ref="CY65" ca="1">SUM(INDIRECT(ADDRESS(savings_min_row, COLUMN()) &amp; ":" &amp; ADDRESS(savings_max_row, COLUMN())))</f>
        <v>0</v>
      </c>
      <c r="CZ65" s="28" cm="1">
        <f t="array" aca="1" ref="CZ65" ca="1">SUM(INDIRECT(ADDRESS(savings_min_row, COLUMN()) &amp; ":" &amp; ADDRESS(savings_max_row, COLUMN())))</f>
        <v>0</v>
      </c>
      <c r="DA65" s="28" cm="1">
        <f t="array" aca="1" ref="DA65" ca="1">SUM(INDIRECT(ADDRESS(savings_min_row, COLUMN()) &amp; ":" &amp; ADDRESS(savings_max_row, COLUMN())))</f>
        <v>0</v>
      </c>
      <c r="DB65" s="28" cm="1">
        <f t="array" aca="1" ref="DB65" ca="1">SUM(INDIRECT(ADDRESS(savings_min_row, COLUMN()) &amp; ":" &amp; ADDRESS(savings_max_row, COLUMN())))</f>
        <v>0</v>
      </c>
      <c r="DC65" s="28" cm="1">
        <f t="array" aca="1" ref="DC65" ca="1">SUM(INDIRECT(ADDRESS(savings_min_row, COLUMN()) &amp; ":" &amp; ADDRESS(savings_max_row, COLUMN())))</f>
        <v>0</v>
      </c>
      <c r="DD65" s="28" cm="1">
        <f t="array" aca="1" ref="DD65" ca="1">SUM(INDIRECT(ADDRESS(savings_min_row, COLUMN()) &amp; ":" &amp; ADDRESS(savings_max_row, COLUMN())))</f>
        <v>0</v>
      </c>
      <c r="DE65" s="28" cm="1">
        <f t="array" aca="1" ref="DE65" ca="1">SUM(INDIRECT(ADDRESS(savings_min_row, COLUMN()) &amp; ":" &amp; ADDRESS(savings_max_row, COLUMN())))</f>
        <v>0</v>
      </c>
      <c r="DF65" s="28" cm="1">
        <f t="array" aca="1" ref="DF65" ca="1">SUM(INDIRECT(ADDRESS(savings_min_row, COLUMN()) &amp; ":" &amp; ADDRESS(savings_max_row, COLUMN())))</f>
        <v>0</v>
      </c>
      <c r="DG65" s="28" cm="1">
        <f t="array" aca="1" ref="DG65" ca="1">SUM(INDIRECT(ADDRESS(savings_min_row, COLUMN()) &amp; ":" &amp; ADDRESS(savings_max_row, COLUMN())))</f>
        <v>0</v>
      </c>
      <c r="DH65" s="28" cm="1">
        <f t="array" aca="1" ref="DH65" ca="1">SUM(INDIRECT(ADDRESS(savings_min_row, COLUMN()) &amp; ":" &amp; ADDRESS(savings_max_row, COLUMN())))</f>
        <v>0</v>
      </c>
      <c r="DI65" s="28" cm="1">
        <f t="array" aca="1" ref="DI65" ca="1">SUM(INDIRECT(ADDRESS(savings_min_row, COLUMN()) &amp; ":" &amp; ADDRESS(savings_max_row, COLUMN())))</f>
        <v>0</v>
      </c>
      <c r="DJ65" s="28" cm="1">
        <f t="array" aca="1" ref="DJ65" ca="1">SUM(INDIRECT(ADDRESS(savings_min_row, COLUMN()) &amp; ":" &amp; ADDRESS(savings_max_row, COLUMN())))</f>
        <v>0</v>
      </c>
      <c r="DK65" s="28" cm="1">
        <f t="array" aca="1" ref="DK65" ca="1">SUM(INDIRECT(ADDRESS(savings_min_row, COLUMN()) &amp; ":" &amp; ADDRESS(savings_max_row, COLUMN())))</f>
        <v>0</v>
      </c>
      <c r="DM65" s="28" cm="1">
        <f t="array" aca="1" ref="DM65" ca="1">SUM(INDIRECT(ADDRESS(savings_min_row, COLUMN()) &amp; ":" &amp; ADDRESS(savings_max_row, COLUMN())))</f>
        <v>0</v>
      </c>
      <c r="DN65" s="28" cm="1">
        <f t="array" aca="1" ref="DN65" ca="1">SUM(INDIRECT(ADDRESS(savings_min_row, COLUMN()) &amp; ":" &amp; ADDRESS(savings_max_row, COLUMN())))</f>
        <v>0</v>
      </c>
      <c r="DO65" s="28" cm="1">
        <f t="array" aca="1" ref="DO65" ca="1">SUM(INDIRECT(ADDRESS(savings_min_row, COLUMN()) &amp; ":" &amp; ADDRESS(savings_max_row, COLUMN())))</f>
        <v>0</v>
      </c>
      <c r="DP65" s="28" cm="1">
        <f t="array" aca="1" ref="DP65" ca="1">SUM(INDIRECT(ADDRESS(savings_min_row, COLUMN()) &amp; ":" &amp; ADDRESS(savings_max_row, COLUMN())))</f>
        <v>0</v>
      </c>
      <c r="DQ65" s="28" cm="1">
        <f t="array" aca="1" ref="DQ65" ca="1">SUM(INDIRECT(ADDRESS(savings_min_row, COLUMN()) &amp; ":" &amp; ADDRESS(savings_max_row, COLUMN())))</f>
        <v>0</v>
      </c>
      <c r="DR65" s="28" cm="1">
        <f t="array" aca="1" ref="DR65" ca="1">SUM(INDIRECT(ADDRESS(savings_min_row, COLUMN()) &amp; ":" &amp; ADDRESS(savings_max_row, COLUMN())))</f>
        <v>0</v>
      </c>
      <c r="DS65" s="28" cm="1">
        <f t="array" aca="1" ref="DS65" ca="1">SUM(INDIRECT(ADDRESS(savings_min_row, COLUMN()) &amp; ":" &amp; ADDRESS(savings_max_row, COLUMN())))</f>
        <v>0</v>
      </c>
      <c r="DT65" s="28" cm="1">
        <f t="array" aca="1" ref="DT65" ca="1">SUM(INDIRECT(ADDRESS(savings_min_row, COLUMN()) &amp; ":" &amp; ADDRESS(savings_max_row, COLUMN())))</f>
        <v>0</v>
      </c>
      <c r="DU65" s="28" cm="1">
        <f t="array" aca="1" ref="DU65" ca="1">SUM(INDIRECT(ADDRESS(savings_min_row, COLUMN()) &amp; ":" &amp; ADDRESS(savings_max_row, COLUMN())))</f>
        <v>0</v>
      </c>
      <c r="DV65" s="28" cm="1">
        <f t="array" aca="1" ref="DV65" ca="1">SUM(INDIRECT(ADDRESS(savings_min_row, COLUMN()) &amp; ":" &amp; ADDRESS(savings_max_row, COLUMN())))</f>
        <v>0</v>
      </c>
      <c r="DW65" s="28" cm="1">
        <f t="array" aca="1" ref="DW65" ca="1">SUM(INDIRECT(ADDRESS(savings_min_row, COLUMN()) &amp; ":" &amp; ADDRESS(savings_max_row, COLUMN())))</f>
        <v>0</v>
      </c>
      <c r="DX65" s="28" cm="1">
        <f t="array" aca="1" ref="DX65" ca="1">SUM(INDIRECT(ADDRESS(savings_min_row, COLUMN()) &amp; ":" &amp; ADDRESS(savings_max_row, COLUMN())))</f>
        <v>0</v>
      </c>
      <c r="DY65" s="28" cm="1">
        <f t="array" aca="1" ref="DY65" ca="1">SUM(INDIRECT(ADDRESS(savings_min_row, COLUMN()) &amp; ":" &amp; ADDRESS(savings_max_row, COLUMN())))</f>
        <v>0</v>
      </c>
      <c r="EA65" s="28" cm="1">
        <f t="array" aca="1" ref="EA65" ca="1">SUM(INDIRECT(ADDRESS(savings_min_row, COLUMN()) &amp; ":" &amp; ADDRESS(savings_max_row, COLUMN())))</f>
        <v>0</v>
      </c>
      <c r="EB65" s="28" cm="1">
        <f t="array" aca="1" ref="EB65" ca="1">SUM(INDIRECT(ADDRESS(savings_min_row, COLUMN()) &amp; ":" &amp; ADDRESS(savings_max_row, COLUMN())))</f>
        <v>0</v>
      </c>
      <c r="EC65" s="28" cm="1">
        <f t="array" aca="1" ref="EC65" ca="1">SUM(INDIRECT(ADDRESS(savings_min_row, COLUMN()) &amp; ":" &amp; ADDRESS(savings_max_row, COLUMN())))</f>
        <v>0</v>
      </c>
      <c r="ED65" s="28" cm="1">
        <f t="array" aca="1" ref="ED65" ca="1">SUM(INDIRECT(ADDRESS(savings_min_row, COLUMN()) &amp; ":" &amp; ADDRESS(savings_max_row, COLUMN())))</f>
        <v>0</v>
      </c>
      <c r="EE65" s="28" cm="1">
        <f t="array" aca="1" ref="EE65" ca="1">SUM(INDIRECT(ADDRESS(savings_min_row, COLUMN()) &amp; ":" &amp; ADDRESS(savings_max_row, COLUMN())))</f>
        <v>0</v>
      </c>
      <c r="EF65" s="28" cm="1">
        <f t="array" aca="1" ref="EF65" ca="1">SUM(INDIRECT(ADDRESS(savings_min_row, COLUMN()) &amp; ":" &amp; ADDRESS(savings_max_row, COLUMN())))</f>
        <v>0</v>
      </c>
      <c r="EG65" s="28" cm="1">
        <f t="array" aca="1" ref="EG65" ca="1">SUM(INDIRECT(ADDRESS(savings_min_row, COLUMN()) &amp; ":" &amp; ADDRESS(savings_max_row, COLUMN())))</f>
        <v>0</v>
      </c>
      <c r="EH65" s="28" cm="1">
        <f t="array" aca="1" ref="EH65" ca="1">SUM(INDIRECT(ADDRESS(savings_min_row, COLUMN()) &amp; ":" &amp; ADDRESS(savings_max_row, COLUMN())))</f>
        <v>0</v>
      </c>
      <c r="EI65" s="28" cm="1">
        <f t="array" aca="1" ref="EI65" ca="1">SUM(INDIRECT(ADDRESS(savings_min_row, COLUMN()) &amp; ":" &amp; ADDRESS(savings_max_row, COLUMN())))</f>
        <v>0</v>
      </c>
      <c r="EJ65" s="28" cm="1">
        <f t="array" aca="1" ref="EJ65" ca="1">SUM(INDIRECT(ADDRESS(savings_min_row, COLUMN()) &amp; ":" &amp; ADDRESS(savings_max_row, COLUMN())))</f>
        <v>0</v>
      </c>
      <c r="EK65" s="28" cm="1">
        <f t="array" aca="1" ref="EK65" ca="1">SUM(INDIRECT(ADDRESS(savings_min_row, COLUMN()) &amp; ":" &amp; ADDRESS(savings_max_row, COLUMN())))</f>
        <v>0</v>
      </c>
      <c r="EL65" s="28" cm="1">
        <f t="array" aca="1" ref="EL65" ca="1">SUM(INDIRECT(ADDRESS(savings_min_row, COLUMN()) &amp; ":" &amp; ADDRESS(savings_max_row, COLUMN())))</f>
        <v>0</v>
      </c>
      <c r="EM65" s="28" cm="1">
        <f t="array" aca="1" ref="EM65" ca="1">SUM(INDIRECT(ADDRESS(savings_min_row, COLUMN()) &amp; ":" &amp; ADDRESS(savings_max_row, COLUMN())))</f>
        <v>0</v>
      </c>
      <c r="EO65" s="28" cm="1">
        <f t="array" aca="1" ref="EO65" ca="1">SUM(INDIRECT(ADDRESS(savings_min_row, COLUMN()) &amp; ":" &amp; ADDRESS(savings_max_row, COLUMN())))</f>
        <v>0</v>
      </c>
      <c r="EP65" s="28" cm="1">
        <f t="array" aca="1" ref="EP65" ca="1">SUM(INDIRECT(ADDRESS(savings_min_row, COLUMN()) &amp; ":" &amp; ADDRESS(savings_max_row, COLUMN())))</f>
        <v>0</v>
      </c>
      <c r="EQ65" s="28" cm="1">
        <f t="array" aca="1" ref="EQ65" ca="1">SUM(INDIRECT(ADDRESS(savings_min_row, COLUMN()) &amp; ":" &amp; ADDRESS(savings_max_row, COLUMN())))</f>
        <v>0</v>
      </c>
      <c r="ER65" s="28" cm="1">
        <f t="array" aca="1" ref="ER65" ca="1">SUM(INDIRECT(ADDRESS(savings_min_row, COLUMN()) &amp; ":" &amp; ADDRESS(savings_max_row, COLUMN())))</f>
        <v>0</v>
      </c>
      <c r="ES65" s="28" cm="1">
        <f t="array" aca="1" ref="ES65" ca="1">SUM(INDIRECT(ADDRESS(savings_min_row, COLUMN()) &amp; ":" &amp; ADDRESS(savings_max_row, COLUMN())))</f>
        <v>0</v>
      </c>
      <c r="ET65" s="28" cm="1">
        <f t="array" aca="1" ref="ET65" ca="1">SUM(INDIRECT(ADDRESS(savings_min_row, COLUMN()) &amp; ":" &amp; ADDRESS(savings_max_row, COLUMN())))</f>
        <v>0</v>
      </c>
      <c r="EU65" s="28" cm="1">
        <f t="array" aca="1" ref="EU65" ca="1">SUM(INDIRECT(ADDRESS(savings_min_row, COLUMN()) &amp; ":" &amp; ADDRESS(savings_max_row, COLUMN())))</f>
        <v>0</v>
      </c>
      <c r="EV65" s="28" cm="1">
        <f t="array" aca="1" ref="EV65" ca="1">SUM(INDIRECT(ADDRESS(savings_min_row, COLUMN()) &amp; ":" &amp; ADDRESS(savings_max_row, COLUMN())))</f>
        <v>0</v>
      </c>
      <c r="EW65" s="28" cm="1">
        <f t="array" aca="1" ref="EW65" ca="1">SUM(INDIRECT(ADDRESS(savings_min_row, COLUMN()) &amp; ":" &amp; ADDRESS(savings_max_row, COLUMN())))</f>
        <v>0</v>
      </c>
      <c r="EX65" s="28" cm="1">
        <f t="array" aca="1" ref="EX65" ca="1">SUM(INDIRECT(ADDRESS(savings_min_row, COLUMN()) &amp; ":" &amp; ADDRESS(savings_max_row, COLUMN())))</f>
        <v>0</v>
      </c>
      <c r="EY65" s="28" cm="1">
        <f t="array" aca="1" ref="EY65" ca="1">SUM(INDIRECT(ADDRESS(savings_min_row, COLUMN()) &amp; ":" &amp; ADDRESS(savings_max_row, COLUMN())))</f>
        <v>0</v>
      </c>
      <c r="EZ65" s="28" cm="1">
        <f t="array" aca="1" ref="EZ65" ca="1">SUM(INDIRECT(ADDRESS(savings_min_row, COLUMN()) &amp; ":" &amp; ADDRESS(savings_max_row, COLUMN())))</f>
        <v>0</v>
      </c>
      <c r="FA65" s="28" cm="1">
        <f t="array" aca="1" ref="FA65" ca="1">SUM(INDIRECT(ADDRESS(savings_min_row, COLUMN()) &amp; ":" &amp; ADDRESS(savings_max_row, COLUMN())))</f>
        <v>0</v>
      </c>
    </row>
  </sheetData>
  <mergeCells count="11">
    <mergeCell ref="EO6:FA6"/>
    <mergeCell ref="E6:Q6"/>
    <mergeCell ref="CK6:CW6"/>
    <mergeCell ref="CY6:DK6"/>
    <mergeCell ref="DM6:DY6"/>
    <mergeCell ref="EA6:EM6"/>
    <mergeCell ref="S6:AE6"/>
    <mergeCell ref="AG6:AS6"/>
    <mergeCell ref="AU6:BG6"/>
    <mergeCell ref="BI6:BU6"/>
    <mergeCell ref="BW6:CI6"/>
  </mergeCells>
  <conditionalFormatting sqref="C11:C26 E11:Q26 S11:AE26 AG11:AS26 AU11:BG26 BI11:BU26 BW11:CI26 CK11:CW26 CY11:DK26 DM11:DY26 EA11:EM26 EO11:FA26">
    <cfRule type="expression" dxfId="40" priority="6">
      <formula>ROW(A11)&lt;=income_max_row</formula>
    </cfRule>
  </conditionalFormatting>
  <conditionalFormatting sqref="C30:C45 E30:Q45 S30:AE45 AG30:AS45 AU30:BG45 BI30:BU45 BW30:CI45 CK30:CW45 CY30:DK45 DM30:DY45 EA30:EM45 EO30:FA45">
    <cfRule type="expression" dxfId="39" priority="5">
      <formula>ROW(A30)&lt;=expenses_max_row</formula>
    </cfRule>
  </conditionalFormatting>
  <conditionalFormatting sqref="C49:C64 E49:Q64 S49:AE64 AG49:AS64 AU49:BG64 BI49:BU64 BW49:CI64 CK49:CW64 CY49:DK64 DM49:DY64 EA49:EM64 EO49:FA64">
    <cfRule type="expression" dxfId="38" priority="4">
      <formula>ROW(A49)&lt;=savings_max_row</formula>
    </cfRule>
  </conditionalFormatting>
  <conditionalFormatting sqref="E7:Q8 S7:AE8 AG7:AS8 AU7:BG8 BI7:BU8 BW7:CI8 CK7:CW8 CY7:DK8 DM7:DY8 EA7:EM8 EO7:FA8">
    <cfRule type="expression" dxfId="37" priority="1" stopIfTrue="1">
      <formula>AND(E$27=0, E$46=0, E$65=0)</formula>
    </cfRule>
    <cfRule type="expression" dxfId="36" priority="2" stopIfTrue="1">
      <formula>E$8=0</formula>
    </cfRule>
    <cfRule type="expression" dxfId="35" priority="3">
      <formula>E$8&lt;0</formula>
    </cfRule>
  </conditionalFormatting>
  <pageMargins left="0.7" right="0.7" top="0.75" bottom="0.75" header="0.3" footer="0.3"/>
  <pageSetup orientation="portrait"/>
  <headerFooter>
    <oddFooter>&amp;C&amp;"Helvetica Neue,Regular"&amp;12&amp;K000000&amp;P</oddFooter>
  </headerFooter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showGridLines="0" zoomScale="135" workbookViewId="0">
      <pane ySplit="11" topLeftCell="A12" activePane="bottomLeft" state="frozen"/>
      <selection pane="bottomLeft" activeCell="F12" sqref="F12"/>
    </sheetView>
  </sheetViews>
  <sheetFormatPr baseColWidth="10" defaultColWidth="10.83203125" defaultRowHeight="16" customHeight="1" x14ac:dyDescent="0.2"/>
  <cols>
    <col min="1" max="1" width="10.83203125" style="41" customWidth="1"/>
    <col min="2" max="2" width="3.83203125" style="41" customWidth="1"/>
    <col min="3" max="9" width="18.83203125" style="41" customWidth="1"/>
    <col min="10" max="16384" width="10.83203125" style="41"/>
  </cols>
  <sheetData>
    <row r="1" spans="1:9" s="47" customFormat="1" ht="10" customHeight="1" x14ac:dyDescent="0.2">
      <c r="A1" s="57"/>
      <c r="B1" s="57"/>
      <c r="C1" s="57"/>
      <c r="D1" s="57"/>
      <c r="E1" s="57"/>
    </row>
    <row r="2" spans="1:9" s="47" customFormat="1" ht="29" customHeight="1" x14ac:dyDescent="0.35">
      <c r="A2" s="57"/>
      <c r="B2" s="56" t="s">
        <v>16</v>
      </c>
      <c r="C2" s="57"/>
      <c r="D2" s="57"/>
      <c r="E2" s="57"/>
    </row>
    <row r="3" spans="1:9" s="47" customFormat="1" ht="10" customHeight="1" x14ac:dyDescent="0.2">
      <c r="A3" s="57"/>
      <c r="B3" s="57"/>
      <c r="C3" s="57"/>
      <c r="D3" s="57"/>
      <c r="E3" s="57"/>
    </row>
    <row r="4" spans="1:9" ht="15.25" customHeight="1" x14ac:dyDescent="0.2">
      <c r="A4" s="11"/>
      <c r="B4" s="11"/>
      <c r="C4" s="11"/>
      <c r="D4" s="11"/>
      <c r="E4" s="11"/>
    </row>
    <row r="5" spans="1:9" ht="15.25" customHeight="1" x14ac:dyDescent="0.2">
      <c r="A5" s="11"/>
      <c r="B5" s="11"/>
      <c r="C5" s="11"/>
      <c r="D5" s="11"/>
      <c r="E5" s="11"/>
    </row>
    <row r="6" spans="1:9" ht="15.25" customHeight="1" x14ac:dyDescent="0.2">
      <c r="A6" s="11"/>
      <c r="B6" s="11"/>
      <c r="C6" s="11"/>
      <c r="D6" s="11"/>
      <c r="E6" s="11"/>
    </row>
    <row r="7" spans="1:9" ht="15.25" customHeight="1" x14ac:dyDescent="0.2">
      <c r="A7" s="11"/>
      <c r="B7" s="11"/>
      <c r="C7" s="11"/>
      <c r="D7" s="11"/>
      <c r="E7" s="11"/>
    </row>
    <row r="8" spans="1:9" ht="15.25" customHeight="1" x14ac:dyDescent="0.2">
      <c r="A8" s="11"/>
      <c r="B8" s="11"/>
      <c r="C8" s="11"/>
      <c r="D8" s="11"/>
      <c r="E8" s="11"/>
    </row>
    <row r="9" spans="1:9" ht="15.25" customHeight="1" x14ac:dyDescent="0.2">
      <c r="A9" s="11"/>
      <c r="B9" s="11"/>
      <c r="C9" s="11"/>
      <c r="D9" s="11"/>
      <c r="E9" s="11"/>
    </row>
    <row r="10" spans="1:9" ht="15.25" customHeight="1" x14ac:dyDescent="0.2">
      <c r="A10" s="11"/>
      <c r="B10" s="11"/>
      <c r="C10" s="11"/>
      <c r="D10" s="11"/>
      <c r="E10" s="11"/>
    </row>
    <row r="11" spans="1:9" ht="16" customHeight="1" x14ac:dyDescent="0.2">
      <c r="C11" s="58" t="s">
        <v>36</v>
      </c>
      <c r="D11" s="58" t="s">
        <v>37</v>
      </c>
      <c r="E11" s="58" t="s">
        <v>38</v>
      </c>
      <c r="F11" s="58" t="s">
        <v>39</v>
      </c>
      <c r="G11" s="58" t="s">
        <v>40</v>
      </c>
      <c r="H11" s="62" t="s">
        <v>41</v>
      </c>
      <c r="I11" s="62" t="s">
        <v>42</v>
      </c>
    </row>
    <row r="12" spans="1:9" ht="16" customHeight="1" x14ac:dyDescent="0.2">
      <c r="C12" s="60">
        <v>44555</v>
      </c>
      <c r="D12" s="59" t="s">
        <v>6</v>
      </c>
      <c r="E12" s="59" t="s">
        <v>7</v>
      </c>
      <c r="F12" s="61">
        <v>3500</v>
      </c>
      <c r="G12" s="59"/>
      <c r="H12" s="61" cm="1">
        <f t="array" ref="H12">SUMPRODUCT(Tracking[Amount], --(Tracking[Date]&lt;=Tracking[[#This Row],[Date]]), (Tracking[Type]&lt;&gt;"Income") * (-1) + (Tracking[Type]="Income"))</f>
        <v>3500</v>
      </c>
      <c r="I12" s="70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44562</v>
      </c>
    </row>
    <row r="13" spans="1:9" ht="16" customHeight="1" x14ac:dyDescent="0.2">
      <c r="C13" s="60">
        <v>44563</v>
      </c>
      <c r="D13" s="59" t="s">
        <v>11</v>
      </c>
      <c r="E13" s="59" t="s">
        <v>12</v>
      </c>
      <c r="F13" s="61">
        <v>1200</v>
      </c>
      <c r="G13" s="59"/>
      <c r="H13" s="61" cm="1">
        <f t="array" ref="H13">SUMPRODUCT(Tracking[Amount], --(Tracking[Date]&lt;=Tracking[[#This Row],[Date]]), (Tracking[Type]&lt;&gt;"Income") * (-1) + (Tracking[Type]="Income"))</f>
        <v>2300</v>
      </c>
      <c r="I13" s="70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44563</v>
      </c>
    </row>
    <row r="14" spans="1:9" ht="16" customHeight="1" x14ac:dyDescent="0.2">
      <c r="C14" s="60">
        <v>44564</v>
      </c>
      <c r="D14" s="59" t="s">
        <v>11</v>
      </c>
      <c r="E14" s="59" t="s">
        <v>26</v>
      </c>
      <c r="F14" s="61">
        <v>150</v>
      </c>
      <c r="G14" s="59"/>
      <c r="H14" s="61" cm="1">
        <f t="array" ref="H14">SUMPRODUCT(Tracking[Amount], --(Tracking[Date]&lt;=Tracking[[#This Row],[Date]]), (Tracking[Type]&lt;&gt;"Income") * (-1) + (Tracking[Type]="Income"))</f>
        <v>2150</v>
      </c>
      <c r="I14" s="70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44564</v>
      </c>
    </row>
    <row r="15" spans="1:9" ht="16" customHeight="1" x14ac:dyDescent="0.2">
      <c r="C15" s="60">
        <v>44565</v>
      </c>
      <c r="D15" s="59" t="s">
        <v>14</v>
      </c>
      <c r="E15" s="59" t="s">
        <v>24</v>
      </c>
      <c r="F15" s="61">
        <v>1000</v>
      </c>
      <c r="G15" s="59"/>
      <c r="H15" s="98" cm="1">
        <f t="array" ref="H15">SUMPRODUCT(Tracking[Amount], --(Tracking[Date]&lt;=Tracking[[#This Row],[Date]]), (Tracking[Type]&lt;&gt;"Income") * (-1) + (Tracking[Type]="Income"))</f>
        <v>1150</v>
      </c>
      <c r="I15" s="70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44565</v>
      </c>
    </row>
    <row r="16" spans="1:9" ht="16" customHeight="1" x14ac:dyDescent="0.2">
      <c r="C16" s="60">
        <v>44597</v>
      </c>
      <c r="D16" s="59" t="s">
        <v>6</v>
      </c>
      <c r="E16" s="59" t="s">
        <v>8</v>
      </c>
      <c r="F16" s="61">
        <v>500</v>
      </c>
      <c r="G16" s="59"/>
      <c r="H16" s="98" cm="1">
        <f t="array" ref="H16">SUMPRODUCT(Tracking[Amount], --(Tracking[Date]&lt;=Tracking[[#This Row],[Date]]), (Tracking[Type]&lt;&gt;"Income") * (-1) + (Tracking[Type]="Income"))</f>
        <v>1650</v>
      </c>
      <c r="I16" s="70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44597</v>
      </c>
    </row>
    <row r="17" spans="3:9" ht="16" customHeight="1" x14ac:dyDescent="0.2">
      <c r="C17" s="60">
        <v>44599</v>
      </c>
      <c r="D17" s="59" t="s">
        <v>11</v>
      </c>
      <c r="E17" s="59" t="s">
        <v>20</v>
      </c>
      <c r="F17" s="61">
        <v>200</v>
      </c>
      <c r="G17" s="59"/>
      <c r="H17" s="98" cm="1">
        <f t="array" ref="H17">SUMPRODUCT(Tracking[Amount], --(Tracking[Date]&lt;=Tracking[[#This Row],[Date]]), (Tracking[Type]&lt;&gt;"Income") * (-1) + (Tracking[Type]="Income"))</f>
        <v>1450</v>
      </c>
      <c r="I17" s="70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44599</v>
      </c>
    </row>
    <row r="18" spans="3:9" ht="16" customHeight="1" x14ac:dyDescent="0.2">
      <c r="C18" s="60">
        <v>44600</v>
      </c>
      <c r="D18" s="59" t="s">
        <v>11</v>
      </c>
      <c r="E18" s="59" t="s">
        <v>13</v>
      </c>
      <c r="F18" s="61">
        <v>100</v>
      </c>
      <c r="G18" s="59"/>
      <c r="H18" s="98" cm="1">
        <f t="array" ref="H18">SUMPRODUCT(Tracking[Amount], --(Tracking[Date]&lt;=Tracking[[#This Row],[Date]]), (Tracking[Type]&lt;&gt;"Income") * (-1) + (Tracking[Type]="Income"))</f>
        <v>1350</v>
      </c>
      <c r="I18" s="70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44600</v>
      </c>
    </row>
    <row r="19" spans="3:9" ht="16" customHeight="1" x14ac:dyDescent="0.2">
      <c r="C19" s="60">
        <v>44601</v>
      </c>
      <c r="D19" s="59" t="s">
        <v>14</v>
      </c>
      <c r="E19" s="59" t="s">
        <v>35</v>
      </c>
      <c r="F19" s="61">
        <v>500</v>
      </c>
      <c r="G19" s="59"/>
      <c r="H19" s="98" cm="1">
        <f t="array" ref="H19">SUMPRODUCT(Tracking[Amount], --(Tracking[Date]&lt;=Tracking[[#This Row],[Date]]), (Tracking[Type]&lt;&gt;"Income") * (-1) + (Tracking[Type]="Income"))</f>
        <v>850</v>
      </c>
      <c r="I19" s="70">
        <f>IF(
    AND(Tracking[[#This Row],[Type]]="Income", Shift_late_income_status="Active", DAY(Tracking[[#This Row],[Date]])&gt;=Shift_late_income_starting_date),
    DATE(YEAR(Tracking[[#This Row],[Date]]), MONTH(Tracking[[#This Row],[Date]])+1, 1),
    Tracking[[#This Row],[Date]]
)</f>
        <v>44601</v>
      </c>
    </row>
  </sheetData>
  <conditionalFormatting sqref="E12:E19">
    <cfRule type="expression" dxfId="34" priority="4" stopIfTrue="1">
      <formula>ISNA(MATCH(E12, INDIRECT(D12), 0))</formula>
    </cfRule>
  </conditionalFormatting>
  <conditionalFormatting sqref="F12:F19">
    <cfRule type="expression" dxfId="33" priority="3">
      <formula>D12="Income"</formula>
    </cfRule>
  </conditionalFormatting>
  <conditionalFormatting sqref="H12:H19">
    <cfRule type="expression" dxfId="32" priority="2">
      <formula>F12="Income"</formula>
    </cfRule>
  </conditionalFormatting>
  <conditionalFormatting sqref="I12:I19">
    <cfRule type="expression" dxfId="31" priority="1">
      <formula>AND(D12="Income", Shift_late_income_status="Active", DAY(C12)&gt;=Shift_late_income_starting_date)</formula>
    </cfRule>
  </conditionalFormatting>
  <dataValidations count="4">
    <dataValidation type="date" operator="greaterThan" allowBlank="1" showInputMessage="1" showErrorMessage="1" errorTitle="Invalid Date" error="This Table only accepts dates after 1/1/2020, please enter a valid date" sqref="C12:C19" xr:uid="{81932867-D420-054E-93B2-712E24192613}">
      <formula1>43831</formula1>
    </dataValidation>
    <dataValidation type="list" allowBlank="1" showInputMessage="1" showErrorMessage="1" errorTitle="Invalid Type" error="Please select a type from the dropdown only." sqref="D12:D19" xr:uid="{94FEF91D-66B2-D44D-ACC1-8029B6252627}">
      <formula1>"Income, Expenses, Savings"</formula1>
    </dataValidation>
    <dataValidation type="list" allowBlank="1" showInputMessage="1" showErrorMessage="1" sqref="E12:E19" xr:uid="{17C89392-CED2-694D-A659-7F4EB975DEFB}">
      <formula1>INDIRECT(D12)</formula1>
    </dataValidation>
    <dataValidation type="custom" allowBlank="1" showInputMessage="1" showErrorMessage="1" errorTitle="Invalid Amount" error="Please enter a valid amount." sqref="F12:F19" xr:uid="{01AFD556-D115-8949-A68B-12FAE2E3E5B5}">
      <formula1>ISNUMBER(F12)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AR70"/>
  <sheetViews>
    <sheetView showGridLines="0" zoomScaleNormal="108" workbookViewId="0">
      <selection activeCell="AG8" sqref="AG8"/>
    </sheetView>
  </sheetViews>
  <sheetFormatPr baseColWidth="10" defaultColWidth="10.83203125" defaultRowHeight="16" customHeight="1" x14ac:dyDescent="0.2"/>
  <cols>
    <col min="1" max="2" width="5.83203125" style="41" customWidth="1"/>
    <col min="3" max="3" width="6" style="41" hidden="1" customWidth="1"/>
    <col min="4" max="4" width="11.83203125" style="41" hidden="1" customWidth="1"/>
    <col min="5" max="5" width="8" style="41" hidden="1" customWidth="1"/>
    <col min="6" max="6" width="5.1640625" style="41" hidden="1" customWidth="1"/>
    <col min="7" max="7" width="6.33203125" style="41" hidden="1" customWidth="1"/>
    <col min="8" max="8" width="7.5" style="41" hidden="1" customWidth="1"/>
    <col min="9" max="9" width="8.6640625" style="41" hidden="1" customWidth="1"/>
    <col min="10" max="10" width="25.33203125" style="41" hidden="1" customWidth="1"/>
    <col min="11" max="11" width="11" style="41" hidden="1" customWidth="1"/>
    <col min="12" max="12" width="11.5" style="41" hidden="1" customWidth="1"/>
    <col min="13" max="14" width="10.83203125" style="41" hidden="1" customWidth="1"/>
    <col min="15" max="15" width="11.83203125" style="41" hidden="1" customWidth="1"/>
    <col min="16" max="16" width="10.83203125" style="41" hidden="1" customWidth="1"/>
    <col min="17" max="17" width="11.5" style="41" hidden="1" customWidth="1"/>
    <col min="18" max="18" width="10.83203125" style="41" hidden="1" customWidth="1"/>
    <col min="19" max="19" width="8" style="41" hidden="1" customWidth="1"/>
    <col min="20" max="21" width="12" style="41" hidden="1" customWidth="1"/>
    <col min="22" max="22" width="19" style="41" hidden="1" customWidth="1"/>
    <col min="23" max="23" width="13" style="41" hidden="1" customWidth="1"/>
    <col min="24" max="24" width="16" style="41" hidden="1" customWidth="1"/>
    <col min="25" max="25" width="27" style="41" customWidth="1"/>
    <col min="26" max="30" width="13.33203125" style="41" customWidth="1"/>
    <col min="31" max="31" width="3.83203125" style="41" customWidth="1"/>
    <col min="32" max="33" width="13.33203125" style="41" customWidth="1"/>
    <col min="34" max="34" width="3.83203125" style="41" customWidth="1"/>
    <col min="35" max="35" width="18.33203125" style="41" customWidth="1"/>
    <col min="36" max="36" width="6.33203125" style="41" bestFit="1" customWidth="1"/>
    <col min="37" max="37" width="5.83203125" style="41" customWidth="1"/>
    <col min="38" max="38" width="3.83203125" style="41" customWidth="1"/>
    <col min="39" max="40" width="18.33203125" style="41" customWidth="1"/>
    <col min="41" max="41" width="3.83203125" style="41" customWidth="1"/>
    <col min="42" max="42" width="18.33203125" style="41" customWidth="1"/>
    <col min="43" max="44" width="5.83203125" style="41" customWidth="1"/>
    <col min="45" max="16384" width="10.83203125" style="41"/>
  </cols>
  <sheetData>
    <row r="1" spans="1:44" s="47" customFormat="1" ht="10" customHeight="1" x14ac:dyDescent="0.2">
      <c r="A1" s="57"/>
      <c r="B1" s="57"/>
      <c r="C1" s="57"/>
      <c r="D1" s="57"/>
      <c r="E1" s="57"/>
    </row>
    <row r="2" spans="1:44" s="47" customFormat="1" ht="29" customHeight="1" x14ac:dyDescent="0.35">
      <c r="A2" s="57"/>
      <c r="B2" s="56" t="s">
        <v>17</v>
      </c>
      <c r="C2" s="57"/>
      <c r="D2" s="57"/>
      <c r="E2" s="57"/>
    </row>
    <row r="3" spans="1:44" s="47" customFormat="1" ht="10" customHeight="1" x14ac:dyDescent="0.2">
      <c r="A3" s="57"/>
      <c r="B3" s="57"/>
      <c r="C3" s="57"/>
      <c r="D3" s="57"/>
      <c r="E3" s="57"/>
    </row>
    <row r="4" spans="1:44" ht="15.25" customHeight="1" x14ac:dyDescent="0.2">
      <c r="A4" s="11"/>
      <c r="B4" s="11"/>
      <c r="C4" s="11"/>
      <c r="D4" s="11"/>
      <c r="E4" s="11"/>
    </row>
    <row r="5" spans="1:44" ht="15.25" customHeight="1" x14ac:dyDescent="0.2">
      <c r="A5" s="11"/>
      <c r="B5" s="11"/>
      <c r="C5" s="11"/>
      <c r="D5" s="11"/>
      <c r="E5" s="11"/>
      <c r="AQ5" s="138" t="s">
        <v>57</v>
      </c>
      <c r="AR5" s="139"/>
    </row>
    <row r="6" spans="1:44" ht="15.25" customHeight="1" x14ac:dyDescent="0.2">
      <c r="A6" s="11"/>
      <c r="B6" s="11"/>
      <c r="C6" s="11"/>
      <c r="D6" s="11"/>
      <c r="E6" s="11"/>
      <c r="AN6" s="141" t="s">
        <v>58</v>
      </c>
      <c r="AO6" s="141"/>
      <c r="AP6" s="141"/>
      <c r="AQ6" s="140" t="s">
        <v>63</v>
      </c>
      <c r="AR6" s="140"/>
    </row>
    <row r="7" spans="1:44" ht="15.25" customHeight="1" x14ac:dyDescent="0.2">
      <c r="A7" s="11"/>
      <c r="B7" s="11"/>
      <c r="C7" s="11"/>
      <c r="D7" s="11"/>
      <c r="E7" s="11"/>
    </row>
    <row r="8" spans="1:44" ht="15.25" customHeight="1" x14ac:dyDescent="0.2">
      <c r="A8" s="11"/>
      <c r="B8" s="11"/>
      <c r="C8" s="11"/>
      <c r="D8" s="11"/>
      <c r="E8" s="11"/>
      <c r="AQ8" s="138" t="s">
        <v>59</v>
      </c>
      <c r="AR8" s="139"/>
    </row>
    <row r="9" spans="1:44" ht="15.25" customHeight="1" x14ac:dyDescent="0.2">
      <c r="A9" s="11"/>
      <c r="B9" s="11"/>
      <c r="C9" s="11"/>
      <c r="D9" s="11"/>
      <c r="E9" s="11"/>
      <c r="AN9" s="142" t="s">
        <v>60</v>
      </c>
      <c r="AO9" s="142"/>
      <c r="AP9" s="142"/>
      <c r="AQ9" s="143" t="s">
        <v>65</v>
      </c>
      <c r="AR9" s="143"/>
    </row>
    <row r="10" spans="1:44" ht="15.25" customHeight="1" x14ac:dyDescent="0.2">
      <c r="A10" s="11"/>
      <c r="B10" s="11"/>
      <c r="C10" s="11"/>
      <c r="D10" s="11"/>
      <c r="E10" s="11"/>
    </row>
    <row r="11" spans="1:44" ht="16" customHeight="1" x14ac:dyDescent="0.2">
      <c r="A11" s="78"/>
      <c r="B11" s="78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137" t="str">
        <f xml:space="preserve"> "Breakdown - " &amp;
IF(selected_period="Total Year",
selected_year &amp; " (Total Year)",
selected_period_display &amp; " " &amp; selected_year)</f>
        <v>Breakdown - 2022 (Total Year)</v>
      </c>
      <c r="Z11" s="137"/>
      <c r="AA11" s="137"/>
      <c r="AB11" s="137"/>
      <c r="AC11" s="137"/>
      <c r="AD11" s="137"/>
      <c r="AE11" s="78"/>
      <c r="AF11" s="137" t="str">
        <f xml:space="preserve"> "Summary - " &amp;
IF(selected_period="Total Year",
selected_year &amp; " (Total Year)",
selected_period_display &amp; " " &amp; selected_year)</f>
        <v>Summary - 2022 (Total Year)</v>
      </c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</row>
    <row r="12" spans="1:44" ht="16" customHeight="1" x14ac:dyDescent="0.2">
      <c r="C12" s="89" t="s">
        <v>71</v>
      </c>
      <c r="D12" s="90" t="s">
        <v>72</v>
      </c>
      <c r="E12" s="89" t="s">
        <v>73</v>
      </c>
      <c r="F12" s="91" t="s">
        <v>74</v>
      </c>
      <c r="G12" s="91" t="s">
        <v>76</v>
      </c>
      <c r="H12" s="91" t="s">
        <v>75</v>
      </c>
      <c r="I12" s="89" t="s">
        <v>77</v>
      </c>
      <c r="J12" s="91" t="s">
        <v>78</v>
      </c>
      <c r="K12" s="91" t="s">
        <v>79</v>
      </c>
      <c r="L12" s="91" t="s">
        <v>80</v>
      </c>
      <c r="M12" s="99" t="s">
        <v>81</v>
      </c>
      <c r="N12" s="100" t="s">
        <v>82</v>
      </c>
      <c r="O12" s="99" t="s">
        <v>83</v>
      </c>
      <c r="P12" s="88" t="s">
        <v>84</v>
      </c>
      <c r="Q12" s="88" t="s">
        <v>85</v>
      </c>
      <c r="R12" s="103" t="s">
        <v>86</v>
      </c>
      <c r="S12" s="105" t="s">
        <v>87</v>
      </c>
      <c r="T12" s="88" t="s">
        <v>88</v>
      </c>
      <c r="U12" s="88" t="s">
        <v>89</v>
      </c>
      <c r="V12" s="88" t="s">
        <v>90</v>
      </c>
      <c r="W12" s="106" t="s">
        <v>91</v>
      </c>
      <c r="X12" s="109" t="s">
        <v>92</v>
      </c>
    </row>
    <row r="13" spans="1:44" ht="16" customHeight="1" x14ac:dyDescent="0.2">
      <c r="C13" s="93" cm="1">
        <f t="array" ref="C13">income_header_row</f>
        <v>10</v>
      </c>
      <c r="D13" s="94">
        <f t="shared" ref="D13:D44" si="0">IF(is_header,row_id,
IF(NOT(is_empty),D12,-1))</f>
        <v>10</v>
      </c>
      <c r="E13" s="93" cm="1">
        <f t="array" ref="E13">1*OR(row_id=income_header_row, row_id=expenses_header_row, row_id=savings_header_row)</f>
        <v>1</v>
      </c>
      <c r="F13" s="78">
        <f t="shared" ref="F13:F44" si="1">1*NOT(OR(is_header, is_total, is_empty))</f>
        <v>0</v>
      </c>
      <c r="G13" s="78" cm="1">
        <f t="array" ref="G13">1*OR(row_id=income_total_row, row_id=expenses_total_row, row_id=savings_total_row)</f>
        <v>0</v>
      </c>
      <c r="H13" s="95">
        <f t="shared" ref="H13:H44" si="2">1*OR(row_id="/1", row_id="/2", row_id=-1)</f>
        <v>0</v>
      </c>
      <c r="I13" s="93" t="str" cm="1">
        <f t="array" ref="I13">IFERROR(INDEX('Budget Planning'!$C:$C, header_row_id),"")</f>
        <v>Income</v>
      </c>
      <c r="J13" s="78" t="str" cm="1">
        <f t="array" ref="J13">IFERROR(INDEX('Budget Planning'!$C:$C, row_id), "")</f>
        <v>Income</v>
      </c>
      <c r="K13" s="96" t="str" cm="1">
        <f t="array" ref="K13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13" s="96" t="str" cm="1">
        <f t="array" ref="L13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13" s="101" t="str" cm="1">
        <f t="array" ref="M1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13" s="102" t="str" cm="1">
        <f t="array" ref="N1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13" s="101" t="str">
        <f t="shared" ref="O13:O44" si="3">IF(is_cat, ADDRESS(sort_min_row, COLUMN(tracked)) &amp;":" &amp; ADDRESS(sort_max_row, COLUMN(tracked)), "")</f>
        <v/>
      </c>
      <c r="P13" s="41" t="str">
        <f t="shared" ref="P13:P44" ca="1" si="4">IF(is_cat, RANK(tracked, INDIRECT(tracked_range), 0), "")</f>
        <v/>
      </c>
      <c r="Q13" s="41" t="str">
        <f t="shared" ref="Q13:Q44" si="5">IF(is_cat, ADDRESS(sort_min_row, COLUMN(budget)) &amp;":" &amp; ADDRESS(sort_max_row, COLUMN(budget)), "")</f>
        <v/>
      </c>
      <c r="R13" s="104" t="str">
        <f t="shared" ref="R13:R44" ca="1" si="6">IF(is_cat, RANK(budget, INDIRECT(budget_range), 0), "")</f>
        <v/>
      </c>
      <c r="S13" s="107" t="str">
        <f t="shared" ref="S13:S44" si="7">IF(is_cat, _xlfn.NUMBERVALUE(tracked_rank &amp; budget_rank), "")</f>
        <v/>
      </c>
      <c r="T13" s="41" t="str">
        <f t="shared" ref="T13:T44" si="8">IF(is_cat, ADDRESS(sort_min_row, COLUMN(comb_rank)) &amp;":" &amp; ADDRESS(sort_max_row, COLUMN(comb_rank)), "")</f>
        <v/>
      </c>
      <c r="U13" s="41" t="str">
        <f t="shared" ref="U13:U44" ca="1" si="9">IF(is_cat,RANK(comb_rank,INDIRECT(comb_rank_range),1),"")</f>
        <v/>
      </c>
      <c r="V13" s="41" t="str">
        <f t="shared" ref="V13:V44" si="10">IF(is_cat, ADDRESS(sort_min_row, COLUMN(comb_rank_norm)) &amp;":" &amp; ADDRESS(ROW(), COLUMN(comb_rank_norm)), "")</f>
        <v/>
      </c>
      <c r="W13" s="108" t="str">
        <f t="shared" ref="W13:W44" ca="1" si="11">IF(is_cat, comb_rank_norm + COUNTIF(INDIRECT(comb_rank_norm_run_range), comb_rank_norm)-1, "")</f>
        <v/>
      </c>
      <c r="X13" s="110">
        <f t="shared" ref="X13:X44" si="12">IF(is_cat, header_row_id + comb_rank_unique, row_id)</f>
        <v>10</v>
      </c>
      <c r="Y13" s="112" t="str">
        <f t="shared" ref="Y13:Y44" si="13">IF(is_empty, "", INDEX($J:$J, MATCH(row_id, $X:$X, 0)))</f>
        <v>Income</v>
      </c>
      <c r="Z13" s="114" t="str">
        <f t="shared" ref="Z13:Z44" si="14">IF(is_empty, "", IF(is_header, "Tracked", INDEX($K:$K, MATCH(row_id, $X:$X, 0))))</f>
        <v>Tracked</v>
      </c>
      <c r="AA13" s="114" t="str">
        <f t="shared" ref="AA13:AA44" si="15">IF(is_empty, "", IF(is_header, "Budget", INDEX($L:$L, MATCH(row_id, $X:$X, 0))))</f>
        <v>Budget</v>
      </c>
      <c r="AB13" s="113" t="str">
        <f t="shared" ref="AB13:AB44" si="16">IF(is_empty, "", IF(is_header, "% Compl.", IFERROR(out_tracked / out_budget, "-")))</f>
        <v>% Compl.</v>
      </c>
      <c r="AC13" s="114" t="str">
        <f t="shared" ref="AC13:AC44" si="17">IF(is_empty, "", IF(is_header, "Remaining", IF(out_budget - out_tracked &gt; 0, out_budget - out_tracked, 0)))</f>
        <v>Remaining</v>
      </c>
      <c r="AD13" s="114" t="str">
        <f t="shared" ref="AD13:AD44" si="18">IF(is_empty, "", IF(is_header, "Excess", IF(out_budget - out_tracked &lt; 0, out_tracked - out_budget, 0)))</f>
        <v>Excess</v>
      </c>
      <c r="AF13" s="116"/>
      <c r="AG13" s="117"/>
      <c r="AH13" s="117"/>
      <c r="AI13" s="117"/>
      <c r="AJ13" s="117"/>
      <c r="AK13" s="118"/>
      <c r="AM13" s="116"/>
      <c r="AN13" s="117"/>
      <c r="AO13" s="117"/>
      <c r="AP13" s="117"/>
      <c r="AQ13" s="117"/>
      <c r="AR13" s="118"/>
    </row>
    <row r="14" spans="1:44" ht="16" customHeight="1" x14ac:dyDescent="0.2">
      <c r="C14" s="93" cm="1">
        <f t="array" ref="C14" xml:space="preserve"> IF(C13=-1,-1,
IF(C13&lt;income_max_row, C13+1,
IF(C13=income_max_row, income_total_row,
IF(C13=income_total_row, "/1",
IF(C13="/1", expenses_header_row,
IF(C13&lt;expenses_max_row, C13+1,
IF(C13=expenses_max_row, expenses_total_row,
IF(C13=expenses_total_row, "/2",
IF(C13="/2", savings_header_row,
IF(C13&lt;savings_max_row, C13+1,
IF(C13=savings_max_row, savings_total_row, -1)))))))))))</f>
        <v>11</v>
      </c>
      <c r="D14" s="94">
        <f t="shared" si="0"/>
        <v>10</v>
      </c>
      <c r="E14" s="93" cm="1">
        <f t="array" ref="E14">1*OR(row_id=income_header_row, row_id=expenses_header_row, row_id=savings_header_row)</f>
        <v>0</v>
      </c>
      <c r="F14" s="78">
        <f t="shared" si="1"/>
        <v>1</v>
      </c>
      <c r="G14" s="78" cm="1">
        <f t="array" ref="G14">1*OR(row_id=income_total_row, row_id=expenses_total_row, row_id=savings_total_row)</f>
        <v>0</v>
      </c>
      <c r="H14" s="95">
        <f t="shared" si="2"/>
        <v>0</v>
      </c>
      <c r="I14" s="93" t="str" cm="1">
        <f t="array" ref="I14">IFERROR(INDEX('Budget Planning'!$C:$C, header_row_id),"")</f>
        <v>Income</v>
      </c>
      <c r="J14" s="78" t="str" cm="1">
        <f t="array" ref="J14">IFERROR(INDEX('Budget Planning'!$C:$C, row_id), "")</f>
        <v>Employment</v>
      </c>
      <c r="K14" s="96" cm="1">
        <f t="array" ref="K14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3500</v>
      </c>
      <c r="L14" s="96" cm="1">
        <f t="array" ref="L14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350</v>
      </c>
      <c r="M14" s="101" cm="1">
        <f t="array" ref="M1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14</v>
      </c>
      <c r="N14" s="102" cm="1">
        <f t="array" ref="N1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16</v>
      </c>
      <c r="O14" s="101" t="str">
        <f t="shared" si="3"/>
        <v>$K$14:$K$16</v>
      </c>
      <c r="P14" s="41">
        <f t="shared" ca="1" si="4"/>
        <v>1</v>
      </c>
      <c r="Q14" s="41" t="str">
        <f t="shared" si="5"/>
        <v>$L$14:$L$16</v>
      </c>
      <c r="R14" s="104">
        <f t="shared" ca="1" si="6"/>
        <v>3</v>
      </c>
      <c r="S14" s="107">
        <f t="shared" ca="1" si="7"/>
        <v>13</v>
      </c>
      <c r="T14" s="41" t="str">
        <f t="shared" si="8"/>
        <v>$S$14:$S$16</v>
      </c>
      <c r="U14" s="41">
        <f t="shared" ca="1" si="9"/>
        <v>1</v>
      </c>
      <c r="V14" s="41" t="str">
        <f t="shared" si="10"/>
        <v>$U$14:$U$14</v>
      </c>
      <c r="W14" s="108">
        <f t="shared" ca="1" si="11"/>
        <v>1</v>
      </c>
      <c r="X14" s="110">
        <f t="shared" ca="1" si="12"/>
        <v>11</v>
      </c>
      <c r="Y14" s="112" t="str">
        <f t="shared" ca="1" si="13"/>
        <v>Employment</v>
      </c>
      <c r="Z14" s="114">
        <f t="shared" ca="1" si="14"/>
        <v>3500</v>
      </c>
      <c r="AA14" s="114">
        <f t="shared" ca="1" si="15"/>
        <v>350</v>
      </c>
      <c r="AB14" s="113">
        <f t="shared" ca="1" si="16"/>
        <v>10</v>
      </c>
      <c r="AC14" s="114">
        <f t="shared" ca="1" si="17"/>
        <v>0</v>
      </c>
      <c r="AD14" s="114">
        <f t="shared" ca="1" si="18"/>
        <v>3150</v>
      </c>
      <c r="AF14" s="119"/>
      <c r="AK14" s="120"/>
      <c r="AM14" s="119"/>
      <c r="AR14" s="120"/>
    </row>
    <row r="15" spans="1:44" ht="16" customHeight="1" x14ac:dyDescent="0.2">
      <c r="C15" s="93" cm="1">
        <f t="array" ref="C15" xml:space="preserve"> IF(C14=-1,-1,
IF(C14&lt;income_max_row, C14+1,
IF(C14=income_max_row, income_total_row,
IF(C14=income_total_row, "/1",
IF(C14="/1", expenses_header_row,
IF(C14&lt;expenses_max_row, C14+1,
IF(C14=expenses_max_row, expenses_total_row,
IF(C14=expenses_total_row, "/2",
IF(C14="/2", savings_header_row,
IF(C14&lt;savings_max_row, C14+1,
IF(C14=savings_max_row, savings_total_row, -1)))))))))))</f>
        <v>12</v>
      </c>
      <c r="D15" s="94">
        <f t="shared" si="0"/>
        <v>10</v>
      </c>
      <c r="E15" s="93" cm="1">
        <f t="array" ref="E15">1*OR(row_id=income_header_row, row_id=expenses_header_row, row_id=savings_header_row)</f>
        <v>0</v>
      </c>
      <c r="F15" s="78">
        <f t="shared" si="1"/>
        <v>1</v>
      </c>
      <c r="G15" s="78" cm="1">
        <f t="array" ref="G15">1*OR(row_id=income_total_row, row_id=expenses_total_row, row_id=savings_total_row)</f>
        <v>0</v>
      </c>
      <c r="H15" s="95">
        <f t="shared" si="2"/>
        <v>0</v>
      </c>
      <c r="I15" s="93" t="str" cm="1">
        <f t="array" ref="I15">IFERROR(INDEX('Budget Planning'!$C:$C, header_row_id),"")</f>
        <v>Income</v>
      </c>
      <c r="J15" s="78" t="str" cm="1">
        <f t="array" ref="J15">IFERROR(INDEX('Budget Planning'!$C:$C, row_id), "")</f>
        <v>Side Hustle</v>
      </c>
      <c r="K15" s="96" cm="1">
        <f t="array" ref="K15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500</v>
      </c>
      <c r="L15" s="96" cm="1">
        <f t="array" ref="L15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6511</v>
      </c>
      <c r="M15" s="101" cm="1">
        <f t="array" ref="M1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14</v>
      </c>
      <c r="N15" s="102" cm="1">
        <f t="array" ref="N1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16</v>
      </c>
      <c r="O15" s="101" t="str">
        <f t="shared" si="3"/>
        <v>$K$14:$K$16</v>
      </c>
      <c r="P15" s="41">
        <f t="shared" ca="1" si="4"/>
        <v>2</v>
      </c>
      <c r="Q15" s="41" t="str">
        <f t="shared" si="5"/>
        <v>$L$14:$L$16</v>
      </c>
      <c r="R15" s="104">
        <f t="shared" ca="1" si="6"/>
        <v>1</v>
      </c>
      <c r="S15" s="107">
        <f t="shared" ca="1" si="7"/>
        <v>21</v>
      </c>
      <c r="T15" s="41" t="str">
        <f t="shared" si="8"/>
        <v>$S$14:$S$16</v>
      </c>
      <c r="U15" s="41">
        <f t="shared" ca="1" si="9"/>
        <v>2</v>
      </c>
      <c r="V15" s="41" t="str">
        <f t="shared" si="10"/>
        <v>$U$14:$U$15</v>
      </c>
      <c r="W15" s="108">
        <f t="shared" ca="1" si="11"/>
        <v>2</v>
      </c>
      <c r="X15" s="110">
        <f t="shared" ca="1" si="12"/>
        <v>12</v>
      </c>
      <c r="Y15" s="112" t="str">
        <f t="shared" ca="1" si="13"/>
        <v>Side Hustle</v>
      </c>
      <c r="Z15" s="114">
        <f t="shared" ca="1" si="14"/>
        <v>500</v>
      </c>
      <c r="AA15" s="114">
        <f t="shared" ca="1" si="15"/>
        <v>6511</v>
      </c>
      <c r="AB15" s="113">
        <f t="shared" ca="1" si="16"/>
        <v>7.6793119336507454E-2</v>
      </c>
      <c r="AC15" s="114">
        <f t="shared" ca="1" si="17"/>
        <v>6011</v>
      </c>
      <c r="AD15" s="114">
        <f t="shared" ca="1" si="18"/>
        <v>0</v>
      </c>
      <c r="AF15" s="119"/>
      <c r="AK15" s="120"/>
      <c r="AM15" s="119"/>
      <c r="AR15" s="120"/>
    </row>
    <row r="16" spans="1:44" ht="16" customHeight="1" x14ac:dyDescent="0.2">
      <c r="C16" s="93" cm="1">
        <f t="array" ref="C16" xml:space="preserve"> IF(C15=-1,-1,
IF(C15&lt;income_max_row, C15+1,
IF(C15=income_max_row, income_total_row,
IF(C15=income_total_row, "/1",
IF(C15="/1", expenses_header_row,
IF(C15&lt;expenses_max_row, C15+1,
IF(C15=expenses_max_row, expenses_total_row,
IF(C15=expenses_total_row, "/2",
IF(C15="/2", savings_header_row,
IF(C15&lt;savings_max_row, C15+1,
IF(C15=savings_max_row, savings_total_row, -1)))))))))))</f>
        <v>13</v>
      </c>
      <c r="D16" s="94">
        <f t="shared" si="0"/>
        <v>10</v>
      </c>
      <c r="E16" s="93" cm="1">
        <f t="array" ref="E16">1*OR(row_id=income_header_row, row_id=expenses_header_row, row_id=savings_header_row)</f>
        <v>0</v>
      </c>
      <c r="F16" s="78">
        <f t="shared" si="1"/>
        <v>1</v>
      </c>
      <c r="G16" s="78" cm="1">
        <f t="array" ref="G16">1*OR(row_id=income_total_row, row_id=expenses_total_row, row_id=savings_total_row)</f>
        <v>0</v>
      </c>
      <c r="H16" s="95">
        <f t="shared" si="2"/>
        <v>0</v>
      </c>
      <c r="I16" s="93" t="str" cm="1">
        <f t="array" ref="I16">IFERROR(INDEX('Budget Planning'!$C:$C, header_row_id),"")</f>
        <v>Income</v>
      </c>
      <c r="J16" s="78" t="str" cm="1">
        <f t="array" ref="J16">IFERROR(INDEX('Budget Planning'!$C:$C, row_id), "")</f>
        <v>Interest</v>
      </c>
      <c r="K16" s="96" cm="1">
        <f t="array" ref="K16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16" s="96" cm="1">
        <f t="array" ref="L16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614</v>
      </c>
      <c r="M16" s="101" cm="1">
        <f t="array" ref="M1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14</v>
      </c>
      <c r="N16" s="102" cm="1">
        <f t="array" ref="N1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16</v>
      </c>
      <c r="O16" s="101" t="str">
        <f t="shared" si="3"/>
        <v>$K$14:$K$16</v>
      </c>
      <c r="P16" s="41">
        <f t="shared" ca="1" si="4"/>
        <v>3</v>
      </c>
      <c r="Q16" s="41" t="str">
        <f t="shared" si="5"/>
        <v>$L$14:$L$16</v>
      </c>
      <c r="R16" s="104">
        <f t="shared" ca="1" si="6"/>
        <v>2</v>
      </c>
      <c r="S16" s="107">
        <f t="shared" ca="1" si="7"/>
        <v>32</v>
      </c>
      <c r="T16" s="41" t="str">
        <f t="shared" si="8"/>
        <v>$S$14:$S$16</v>
      </c>
      <c r="U16" s="41">
        <f t="shared" ca="1" si="9"/>
        <v>3</v>
      </c>
      <c r="V16" s="41" t="str">
        <f t="shared" si="10"/>
        <v>$U$14:$U$16</v>
      </c>
      <c r="W16" s="108">
        <f t="shared" ca="1" si="11"/>
        <v>3</v>
      </c>
      <c r="X16" s="110">
        <f t="shared" ca="1" si="12"/>
        <v>13</v>
      </c>
      <c r="Y16" s="112" t="str">
        <f t="shared" ca="1" si="13"/>
        <v>Interest</v>
      </c>
      <c r="Z16" s="114">
        <f t="shared" ca="1" si="14"/>
        <v>0</v>
      </c>
      <c r="AA16" s="114">
        <f t="shared" ca="1" si="15"/>
        <v>614</v>
      </c>
      <c r="AB16" s="113">
        <f t="shared" ca="1" si="16"/>
        <v>0</v>
      </c>
      <c r="AC16" s="114">
        <f t="shared" ca="1" si="17"/>
        <v>614</v>
      </c>
      <c r="AD16" s="114">
        <f t="shared" ca="1" si="18"/>
        <v>0</v>
      </c>
      <c r="AF16" s="119"/>
      <c r="AI16" s="59" t="str">
        <f ca="1">Calculations!E35</f>
        <v>Employment</v>
      </c>
      <c r="AJ16" s="134">
        <f ca="1">Calculations!F35</f>
        <v>3500</v>
      </c>
      <c r="AK16" s="120"/>
      <c r="AM16" s="119"/>
      <c r="AP16" s="59"/>
      <c r="AQ16" s="134"/>
      <c r="AR16" s="120"/>
    </row>
    <row r="17" spans="3:44" ht="16" customHeight="1" x14ac:dyDescent="0.2">
      <c r="C17" s="93" cm="1">
        <f t="array" ref="C17" xml:space="preserve"> IF(C16=-1,-1,
IF(C16&lt;income_max_row, C16+1,
IF(C16=income_max_row, income_total_row,
IF(C16=income_total_row, "/1",
IF(C16="/1", expenses_header_row,
IF(C16&lt;expenses_max_row, C16+1,
IF(C16=expenses_max_row, expenses_total_row,
IF(C16=expenses_total_row, "/2",
IF(C16="/2", savings_header_row,
IF(C16&lt;savings_max_row, C16+1,
IF(C16=savings_max_row, savings_total_row, -1)))))))))))</f>
        <v>27</v>
      </c>
      <c r="D17" s="94">
        <f t="shared" si="0"/>
        <v>10</v>
      </c>
      <c r="E17" s="93" cm="1">
        <f t="array" ref="E17">1*OR(row_id=income_header_row, row_id=expenses_header_row, row_id=savings_header_row)</f>
        <v>0</v>
      </c>
      <c r="F17" s="78">
        <f t="shared" si="1"/>
        <v>0</v>
      </c>
      <c r="G17" s="78" cm="1">
        <f t="array" ref="G17">1*OR(row_id=income_total_row, row_id=expenses_total_row, row_id=savings_total_row)</f>
        <v>1</v>
      </c>
      <c r="H17" s="95">
        <f t="shared" si="2"/>
        <v>0</v>
      </c>
      <c r="I17" s="93" t="str" cm="1">
        <f t="array" ref="I17">IFERROR(INDEX('Budget Planning'!$C:$C, header_row_id),"")</f>
        <v>Income</v>
      </c>
      <c r="J17" s="78" t="str" cm="1">
        <f t="array" ref="J17">IFERROR(INDEX('Budget Planning'!$C:$C, row_id), "")</f>
        <v>Total</v>
      </c>
      <c r="K17" s="96" cm="1">
        <f t="array" ref="K17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4000</v>
      </c>
      <c r="L17" s="96" cm="1">
        <f t="array" aca="1" ref="L17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7475</v>
      </c>
      <c r="M17" s="101" t="str" cm="1">
        <f t="array" ref="M1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17" s="102" t="str" cm="1">
        <f t="array" ref="N1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17" s="101" t="str">
        <f t="shared" si="3"/>
        <v/>
      </c>
      <c r="P17" s="41" t="str">
        <f t="shared" ca="1" si="4"/>
        <v/>
      </c>
      <c r="Q17" s="41" t="str">
        <f t="shared" si="5"/>
        <v/>
      </c>
      <c r="R17" s="104" t="str">
        <f t="shared" ca="1" si="6"/>
        <v/>
      </c>
      <c r="S17" s="107" t="str">
        <f t="shared" si="7"/>
        <v/>
      </c>
      <c r="T17" s="41" t="str">
        <f t="shared" si="8"/>
        <v/>
      </c>
      <c r="U17" s="41" t="str">
        <f t="shared" ca="1" si="9"/>
        <v/>
      </c>
      <c r="V17" s="41" t="str">
        <f t="shared" si="10"/>
        <v/>
      </c>
      <c r="W17" s="108" t="str">
        <f t="shared" ca="1" si="11"/>
        <v/>
      </c>
      <c r="X17" s="110">
        <f t="shared" si="12"/>
        <v>27</v>
      </c>
      <c r="Y17" s="112" t="str">
        <f t="shared" ca="1" si="13"/>
        <v>Total</v>
      </c>
      <c r="Z17" s="114">
        <f t="shared" ca="1" si="14"/>
        <v>4000</v>
      </c>
      <c r="AA17" s="114">
        <f t="shared" ca="1" si="15"/>
        <v>7475</v>
      </c>
      <c r="AB17" s="113">
        <f t="shared" ca="1" si="16"/>
        <v>0.53511705685618727</v>
      </c>
      <c r="AC17" s="114">
        <f t="shared" ca="1" si="17"/>
        <v>3475</v>
      </c>
      <c r="AD17" s="114">
        <f t="shared" ca="1" si="18"/>
        <v>0</v>
      </c>
      <c r="AF17" s="119"/>
      <c r="AI17" s="59" t="str">
        <f ca="1">Calculations!E36</f>
        <v>Side Hustle</v>
      </c>
      <c r="AJ17" s="134">
        <f ca="1">Calculations!F36</f>
        <v>500</v>
      </c>
      <c r="AK17" s="120"/>
      <c r="AM17" s="119"/>
      <c r="AP17" s="59"/>
      <c r="AQ17" s="134"/>
      <c r="AR17" s="120"/>
    </row>
    <row r="18" spans="3:44" ht="16" customHeight="1" x14ac:dyDescent="0.2">
      <c r="C18" s="93" t="str" cm="1">
        <f t="array" ref="C18" xml:space="preserve"> IF(C17=-1,-1,
IF(C17&lt;income_max_row, C17+1,
IF(C17=income_max_row, income_total_row,
IF(C17=income_total_row, "/1",
IF(C17="/1", expenses_header_row,
IF(C17&lt;expenses_max_row, C17+1,
IF(C17=expenses_max_row, expenses_total_row,
IF(C17=expenses_total_row, "/2",
IF(C17="/2", savings_header_row,
IF(C17&lt;savings_max_row, C17+1,
IF(C17=savings_max_row, savings_total_row, -1)))))))))))</f>
        <v>/1</v>
      </c>
      <c r="D18" s="94">
        <f t="shared" si="0"/>
        <v>-1</v>
      </c>
      <c r="E18" s="93" cm="1">
        <f t="array" ref="E18">1*OR(row_id=income_header_row, row_id=expenses_header_row, row_id=savings_header_row)</f>
        <v>0</v>
      </c>
      <c r="F18" s="78">
        <f t="shared" si="1"/>
        <v>0</v>
      </c>
      <c r="G18" s="78" cm="1">
        <f t="array" ref="G18">1*OR(row_id=income_total_row, row_id=expenses_total_row, row_id=savings_total_row)</f>
        <v>0</v>
      </c>
      <c r="H18" s="95">
        <f t="shared" si="2"/>
        <v>1</v>
      </c>
      <c r="I18" s="93" t="str" cm="1">
        <f t="array" ref="I18">IFERROR(INDEX('Budget Planning'!$C:$C, header_row_id),"")</f>
        <v/>
      </c>
      <c r="J18" s="78" t="str" cm="1">
        <f t="array" ref="J18">IFERROR(INDEX('Budget Planning'!$C:$C, row_id), "")</f>
        <v/>
      </c>
      <c r="K18" s="96" t="str" cm="1">
        <f t="array" ref="K18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18" s="96" t="str" cm="1">
        <f t="array" ref="L18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18" s="101" t="str" cm="1">
        <f t="array" ref="M1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18" s="102" t="str" cm="1">
        <f t="array" ref="N1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18" s="101" t="str">
        <f t="shared" si="3"/>
        <v/>
      </c>
      <c r="P18" s="41" t="str">
        <f t="shared" ca="1" si="4"/>
        <v/>
      </c>
      <c r="Q18" s="41" t="str">
        <f t="shared" si="5"/>
        <v/>
      </c>
      <c r="R18" s="104" t="str">
        <f t="shared" ca="1" si="6"/>
        <v/>
      </c>
      <c r="S18" s="107" t="str">
        <f t="shared" si="7"/>
        <v/>
      </c>
      <c r="T18" s="41" t="str">
        <f t="shared" si="8"/>
        <v/>
      </c>
      <c r="U18" s="41" t="str">
        <f t="shared" ca="1" si="9"/>
        <v/>
      </c>
      <c r="V18" s="41" t="str">
        <f t="shared" si="10"/>
        <v/>
      </c>
      <c r="W18" s="108" t="str">
        <f t="shared" ca="1" si="11"/>
        <v/>
      </c>
      <c r="X18" s="110" t="str">
        <f t="shared" si="12"/>
        <v>/1</v>
      </c>
      <c r="Y18" s="112" t="str">
        <f t="shared" si="13"/>
        <v/>
      </c>
      <c r="Z18" s="114" t="str">
        <f t="shared" si="14"/>
        <v/>
      </c>
      <c r="AA18" s="114" t="str">
        <f t="shared" si="15"/>
        <v/>
      </c>
      <c r="AB18" s="113" t="str">
        <f t="shared" si="16"/>
        <v/>
      </c>
      <c r="AC18" s="114" t="str">
        <f t="shared" si="17"/>
        <v/>
      </c>
      <c r="AD18" s="114" t="str">
        <f t="shared" si="18"/>
        <v/>
      </c>
      <c r="AF18" s="119"/>
      <c r="AI18" s="59" t="str">
        <f ca="1">Calculations!E37</f>
        <v/>
      </c>
      <c r="AJ18" s="134" t="str">
        <f ca="1">Calculations!F37</f>
        <v/>
      </c>
      <c r="AK18" s="120"/>
      <c r="AM18" s="119"/>
      <c r="AP18" s="59"/>
      <c r="AQ18" s="134"/>
      <c r="AR18" s="120"/>
    </row>
    <row r="19" spans="3:44" ht="16" customHeight="1" x14ac:dyDescent="0.2">
      <c r="C19" s="93" cm="1">
        <f t="array" ref="C19" xml:space="preserve"> IF(C18=-1,-1,
IF(C18&lt;income_max_row, C18+1,
IF(C18=income_max_row, income_total_row,
IF(C18=income_total_row, "/1",
IF(C18="/1", expenses_header_row,
IF(C18&lt;expenses_max_row, C18+1,
IF(C18=expenses_max_row, expenses_total_row,
IF(C18=expenses_total_row, "/2",
IF(C18="/2", savings_header_row,
IF(C18&lt;savings_max_row, C18+1,
IF(C18=savings_max_row, savings_total_row, -1)))))))))))</f>
        <v>29</v>
      </c>
      <c r="D19" s="94">
        <f t="shared" si="0"/>
        <v>29</v>
      </c>
      <c r="E19" s="93" cm="1">
        <f t="array" ref="E19">1*OR(row_id=income_header_row, row_id=expenses_header_row, row_id=savings_header_row)</f>
        <v>1</v>
      </c>
      <c r="F19" s="78">
        <f t="shared" si="1"/>
        <v>0</v>
      </c>
      <c r="G19" s="78" cm="1">
        <f t="array" ref="G19">1*OR(row_id=income_total_row, row_id=expenses_total_row, row_id=savings_total_row)</f>
        <v>0</v>
      </c>
      <c r="H19" s="95">
        <f t="shared" si="2"/>
        <v>0</v>
      </c>
      <c r="I19" s="93" t="str" cm="1">
        <f t="array" ref="I19">IFERROR(INDEX('Budget Planning'!$C:$C, header_row_id),"")</f>
        <v>Expenses</v>
      </c>
      <c r="J19" s="78" t="str" cm="1">
        <f t="array" ref="J19">IFERROR(INDEX('Budget Planning'!$C:$C, row_id), "")</f>
        <v>Expenses</v>
      </c>
      <c r="K19" s="96" t="str" cm="1">
        <f t="array" ref="K19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19" s="96" t="str" cm="1">
        <f t="array" ref="L19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19" s="101" t="str" cm="1">
        <f t="array" ref="M1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19" s="102" t="str" cm="1">
        <f t="array" ref="N1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19" s="101" t="str">
        <f t="shared" si="3"/>
        <v/>
      </c>
      <c r="P19" s="41" t="str">
        <f t="shared" ca="1" si="4"/>
        <v/>
      </c>
      <c r="Q19" s="41" t="str">
        <f t="shared" si="5"/>
        <v/>
      </c>
      <c r="R19" s="104" t="str">
        <f t="shared" ca="1" si="6"/>
        <v/>
      </c>
      <c r="S19" s="107" t="str">
        <f t="shared" si="7"/>
        <v/>
      </c>
      <c r="T19" s="41" t="str">
        <f t="shared" si="8"/>
        <v/>
      </c>
      <c r="U19" s="41" t="str">
        <f t="shared" ca="1" si="9"/>
        <v/>
      </c>
      <c r="V19" s="41" t="str">
        <f t="shared" si="10"/>
        <v/>
      </c>
      <c r="W19" s="108" t="str">
        <f t="shared" ca="1" si="11"/>
        <v/>
      </c>
      <c r="X19" s="110">
        <f t="shared" si="12"/>
        <v>29</v>
      </c>
      <c r="Y19" s="112" t="str">
        <f t="shared" ca="1" si="13"/>
        <v>Expenses</v>
      </c>
      <c r="Z19" s="114" t="str">
        <f t="shared" si="14"/>
        <v>Tracked</v>
      </c>
      <c r="AA19" s="114" t="str">
        <f t="shared" si="15"/>
        <v>Budget</v>
      </c>
      <c r="AB19" s="113" t="str">
        <f t="shared" si="16"/>
        <v>% Compl.</v>
      </c>
      <c r="AC19" s="114" t="str">
        <f t="shared" si="17"/>
        <v>Remaining</v>
      </c>
      <c r="AD19" s="114" t="str">
        <f t="shared" si="18"/>
        <v>Excess</v>
      </c>
      <c r="AF19" s="119"/>
      <c r="AI19" s="59" t="str">
        <f>Calculations!E38</f>
        <v/>
      </c>
      <c r="AJ19" s="134" t="str">
        <f>Calculations!F38</f>
        <v/>
      </c>
      <c r="AK19" s="120"/>
      <c r="AM19" s="119"/>
      <c r="AP19" s="59"/>
      <c r="AQ19" s="134"/>
      <c r="AR19" s="120"/>
    </row>
    <row r="20" spans="3:44" ht="16" customHeight="1" x14ac:dyDescent="0.2">
      <c r="C20" s="93" cm="1">
        <f t="array" ref="C20" xml:space="preserve"> IF(C19=-1,-1,
IF(C19&lt;income_max_row, C19+1,
IF(C19=income_max_row, income_total_row,
IF(C19=income_total_row, "/1",
IF(C19="/1", expenses_header_row,
IF(C19&lt;expenses_max_row, C19+1,
IF(C19=expenses_max_row, expenses_total_row,
IF(C19=expenses_total_row, "/2",
IF(C19="/2", savings_header_row,
IF(C19&lt;savings_max_row, C19+1,
IF(C19=savings_max_row, savings_total_row, -1)))))))))))</f>
        <v>30</v>
      </c>
      <c r="D20" s="94">
        <f t="shared" si="0"/>
        <v>29</v>
      </c>
      <c r="E20" s="93" cm="1">
        <f t="array" ref="E20">1*OR(row_id=income_header_row, row_id=expenses_header_row, row_id=savings_header_row)</f>
        <v>0</v>
      </c>
      <c r="F20" s="78">
        <f t="shared" si="1"/>
        <v>1</v>
      </c>
      <c r="G20" s="78" cm="1">
        <f t="array" ref="G20">1*OR(row_id=income_total_row, row_id=expenses_total_row, row_id=savings_total_row)</f>
        <v>0</v>
      </c>
      <c r="H20" s="95">
        <f t="shared" si="2"/>
        <v>0</v>
      </c>
      <c r="I20" s="93" t="str" cm="1">
        <f t="array" ref="I20">IFERROR(INDEX('Budget Planning'!$C:$C, header_row_id),"")</f>
        <v>Expenses</v>
      </c>
      <c r="J20" s="78" t="str" cm="1">
        <f t="array" ref="J20">IFERROR(INDEX('Budget Planning'!$C:$C, row_id), "")</f>
        <v>Rent</v>
      </c>
      <c r="K20" s="96" cm="1">
        <f t="array" ref="K20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1200</v>
      </c>
      <c r="L20" s="96" cm="1">
        <f t="array" ref="L20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6500</v>
      </c>
      <c r="M20" s="101" cm="1">
        <f t="array" ref="M20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20" s="102" cm="1">
        <f t="array" ref="N20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20" s="101" t="str">
        <f t="shared" si="3"/>
        <v>$K$20:$K$31</v>
      </c>
      <c r="P20" s="41">
        <f t="shared" ca="1" si="4"/>
        <v>1</v>
      </c>
      <c r="Q20" s="41" t="str">
        <f t="shared" si="5"/>
        <v>$L$20:$L$31</v>
      </c>
      <c r="R20" s="104">
        <f t="shared" ca="1" si="6"/>
        <v>3</v>
      </c>
      <c r="S20" s="107">
        <f t="shared" ca="1" si="7"/>
        <v>13</v>
      </c>
      <c r="T20" s="41" t="str">
        <f t="shared" si="8"/>
        <v>$S$20:$S$31</v>
      </c>
      <c r="U20" s="41">
        <f t="shared" ca="1" si="9"/>
        <v>1</v>
      </c>
      <c r="V20" s="41" t="str">
        <f t="shared" si="10"/>
        <v>$U$20:$U$20</v>
      </c>
      <c r="W20" s="108">
        <f t="shared" ca="1" si="11"/>
        <v>1</v>
      </c>
      <c r="X20" s="110">
        <f t="shared" ca="1" si="12"/>
        <v>30</v>
      </c>
      <c r="Y20" s="112" t="str">
        <f t="shared" ca="1" si="13"/>
        <v>Rent</v>
      </c>
      <c r="Z20" s="114">
        <f t="shared" ca="1" si="14"/>
        <v>1200</v>
      </c>
      <c r="AA20" s="114">
        <f t="shared" ca="1" si="15"/>
        <v>6500</v>
      </c>
      <c r="AB20" s="113">
        <f t="shared" ca="1" si="16"/>
        <v>0.18461538461538463</v>
      </c>
      <c r="AC20" s="114">
        <f t="shared" ca="1" si="17"/>
        <v>5300</v>
      </c>
      <c r="AD20" s="114">
        <f t="shared" ca="1" si="18"/>
        <v>0</v>
      </c>
      <c r="AF20" s="119"/>
      <c r="AI20" s="59" t="str">
        <f>Calculations!E39</f>
        <v/>
      </c>
      <c r="AJ20" s="134" t="str">
        <f>Calculations!F39</f>
        <v/>
      </c>
      <c r="AK20" s="120"/>
      <c r="AM20" s="119"/>
      <c r="AP20" s="59"/>
      <c r="AQ20" s="134"/>
      <c r="AR20" s="120"/>
    </row>
    <row r="21" spans="3:44" ht="16" customHeight="1" x14ac:dyDescent="0.2">
      <c r="C21" s="93" cm="1">
        <f t="array" ref="C21" xml:space="preserve"> IF(C20=-1,-1,
IF(C20&lt;income_max_row, C20+1,
IF(C20=income_max_row, income_total_row,
IF(C20=income_total_row, "/1",
IF(C20="/1", expenses_header_row,
IF(C20&lt;expenses_max_row, C20+1,
IF(C20=expenses_max_row, expenses_total_row,
IF(C20=expenses_total_row, "/2",
IF(C20="/2", savings_header_row,
IF(C20&lt;savings_max_row, C20+1,
IF(C20=savings_max_row, savings_total_row, -1)))))))))))</f>
        <v>31</v>
      </c>
      <c r="D21" s="94">
        <f t="shared" si="0"/>
        <v>29</v>
      </c>
      <c r="E21" s="93" cm="1">
        <f t="array" ref="E21">1*OR(row_id=income_header_row, row_id=expenses_header_row, row_id=savings_header_row)</f>
        <v>0</v>
      </c>
      <c r="F21" s="78">
        <f t="shared" si="1"/>
        <v>1</v>
      </c>
      <c r="G21" s="78" cm="1">
        <f t="array" ref="G21">1*OR(row_id=income_total_row, row_id=expenses_total_row, row_id=savings_total_row)</f>
        <v>0</v>
      </c>
      <c r="H21" s="95">
        <f t="shared" si="2"/>
        <v>0</v>
      </c>
      <c r="I21" s="93" t="str" cm="1">
        <f t="array" ref="I21">IFERROR(INDEX('Budget Planning'!$C:$C, header_row_id),"")</f>
        <v>Expenses</v>
      </c>
      <c r="J21" s="78" t="str" cm="1">
        <f t="array" ref="J21">IFERROR(INDEX('Budget Planning'!$C:$C, row_id), "")</f>
        <v>Groceries</v>
      </c>
      <c r="K21" s="96" cm="1">
        <f t="array" ref="K2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200</v>
      </c>
      <c r="L21" s="96" cm="1">
        <f t="array" ref="L2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6612</v>
      </c>
      <c r="M21" s="101" cm="1">
        <f t="array" ref="M21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21" s="102" cm="1">
        <f t="array" ref="N21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21" s="101" t="str">
        <f t="shared" si="3"/>
        <v>$K$20:$K$31</v>
      </c>
      <c r="P21" s="41">
        <f t="shared" ca="1" si="4"/>
        <v>2</v>
      </c>
      <c r="Q21" s="41" t="str">
        <f t="shared" si="5"/>
        <v>$L$20:$L$31</v>
      </c>
      <c r="R21" s="104">
        <f t="shared" ca="1" si="6"/>
        <v>2</v>
      </c>
      <c r="S21" s="107">
        <f t="shared" ca="1" si="7"/>
        <v>22</v>
      </c>
      <c r="T21" s="41" t="str">
        <f t="shared" si="8"/>
        <v>$S$20:$S$31</v>
      </c>
      <c r="U21" s="41">
        <f t="shared" ca="1" si="9"/>
        <v>2</v>
      </c>
      <c r="V21" s="41" t="str">
        <f t="shared" si="10"/>
        <v>$U$20:$U$21</v>
      </c>
      <c r="W21" s="108">
        <f t="shared" ca="1" si="11"/>
        <v>2</v>
      </c>
      <c r="X21" s="110">
        <f t="shared" ca="1" si="12"/>
        <v>31</v>
      </c>
      <c r="Y21" s="112" t="str">
        <f t="shared" ca="1" si="13"/>
        <v>Groceries</v>
      </c>
      <c r="Z21" s="114">
        <f t="shared" ca="1" si="14"/>
        <v>200</v>
      </c>
      <c r="AA21" s="114">
        <f t="shared" ca="1" si="15"/>
        <v>6612</v>
      </c>
      <c r="AB21" s="113">
        <f t="shared" ca="1" si="16"/>
        <v>3.0248033877797943E-2</v>
      </c>
      <c r="AC21" s="114">
        <f t="shared" ca="1" si="17"/>
        <v>6412</v>
      </c>
      <c r="AD21" s="114">
        <f t="shared" ca="1" si="18"/>
        <v>0</v>
      </c>
      <c r="AF21" s="119"/>
      <c r="AI21" s="59" t="str">
        <f ca="1">Calculations!E40</f>
        <v/>
      </c>
      <c r="AJ21" s="134" t="str">
        <f ca="1">Calculations!F40</f>
        <v/>
      </c>
      <c r="AK21" s="120"/>
      <c r="AM21" s="119"/>
      <c r="AP21" s="59"/>
      <c r="AQ21" s="134"/>
      <c r="AR21" s="120"/>
    </row>
    <row r="22" spans="3:44" ht="16" customHeight="1" x14ac:dyDescent="0.2">
      <c r="C22" s="93" cm="1">
        <f t="array" ref="C22" xml:space="preserve"> IF(C21=-1,-1,
IF(C21&lt;income_max_row, C21+1,
IF(C21=income_max_row, income_total_row,
IF(C21=income_total_row, "/1",
IF(C21="/1", expenses_header_row,
IF(C21&lt;expenses_max_row, C21+1,
IF(C21=expenses_max_row, expenses_total_row,
IF(C21=expenses_total_row, "/2",
IF(C21="/2", savings_header_row,
IF(C21&lt;savings_max_row, C21+1,
IF(C21=savings_max_row, savings_total_row, -1)))))))))))</f>
        <v>32</v>
      </c>
      <c r="D22" s="94">
        <f t="shared" si="0"/>
        <v>29</v>
      </c>
      <c r="E22" s="93" cm="1">
        <f t="array" ref="E22">1*OR(row_id=income_header_row, row_id=expenses_header_row, row_id=savings_header_row)</f>
        <v>0</v>
      </c>
      <c r="F22" s="78">
        <f t="shared" si="1"/>
        <v>1</v>
      </c>
      <c r="G22" s="78" cm="1">
        <f t="array" ref="G22">1*OR(row_id=income_total_row, row_id=expenses_total_row, row_id=savings_total_row)</f>
        <v>0</v>
      </c>
      <c r="H22" s="95">
        <f t="shared" si="2"/>
        <v>0</v>
      </c>
      <c r="I22" s="93" t="str" cm="1">
        <f t="array" ref="I22">IFERROR(INDEX('Budget Planning'!$C:$C, header_row_id),"")</f>
        <v>Expenses</v>
      </c>
      <c r="J22" s="78" t="str" cm="1">
        <f t="array" ref="J22">IFERROR(INDEX('Budget Planning'!$C:$C, row_id), "")</f>
        <v>Transport</v>
      </c>
      <c r="K22" s="96" cm="1">
        <f t="array" ref="K22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100</v>
      </c>
      <c r="L22" s="96" cm="1">
        <f t="array" ref="L22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15531</v>
      </c>
      <c r="M22" s="101" cm="1">
        <f t="array" ref="M22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22" s="102" cm="1">
        <f t="array" ref="N22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22" s="101" t="str">
        <f t="shared" si="3"/>
        <v>$K$20:$K$31</v>
      </c>
      <c r="P22" s="41">
        <f t="shared" ca="1" si="4"/>
        <v>4</v>
      </c>
      <c r="Q22" s="41" t="str">
        <f t="shared" si="5"/>
        <v>$L$20:$L$31</v>
      </c>
      <c r="R22" s="104">
        <f t="shared" ca="1" si="6"/>
        <v>1</v>
      </c>
      <c r="S22" s="107">
        <f t="shared" ca="1" si="7"/>
        <v>41</v>
      </c>
      <c r="T22" s="41" t="str">
        <f t="shared" si="8"/>
        <v>$S$20:$S$31</v>
      </c>
      <c r="U22" s="41">
        <f t="shared" ca="1" si="9"/>
        <v>4</v>
      </c>
      <c r="V22" s="41" t="str">
        <f t="shared" si="10"/>
        <v>$U$20:$U$22</v>
      </c>
      <c r="W22" s="108">
        <f t="shared" ca="1" si="11"/>
        <v>4</v>
      </c>
      <c r="X22" s="110">
        <f t="shared" ca="1" si="12"/>
        <v>33</v>
      </c>
      <c r="Y22" s="112" t="str">
        <f t="shared" ca="1" si="13"/>
        <v>Clothing</v>
      </c>
      <c r="Z22" s="114">
        <f t="shared" ca="1" si="14"/>
        <v>150</v>
      </c>
      <c r="AA22" s="114">
        <f t="shared" ca="1" si="15"/>
        <v>0</v>
      </c>
      <c r="AB22" s="113" t="str">
        <f t="shared" ca="1" si="16"/>
        <v>-</v>
      </c>
      <c r="AC22" s="114">
        <f t="shared" ca="1" si="17"/>
        <v>0</v>
      </c>
      <c r="AD22" s="114">
        <f t="shared" ca="1" si="18"/>
        <v>150</v>
      </c>
      <c r="AF22" s="119"/>
      <c r="AI22" s="135" t="str">
        <f>Calculations!E41</f>
        <v>Total</v>
      </c>
      <c r="AJ22" s="136">
        <f ca="1">Calculations!F41</f>
        <v>4000</v>
      </c>
      <c r="AK22" s="120"/>
      <c r="AM22" s="119"/>
      <c r="AP22" s="154"/>
      <c r="AQ22" s="155"/>
      <c r="AR22" s="120"/>
    </row>
    <row r="23" spans="3:44" ht="16" customHeight="1" x14ac:dyDescent="0.2">
      <c r="C23" s="93" cm="1">
        <f t="array" ref="C23" xml:space="preserve"> IF(C22=-1,-1,
IF(C22&lt;income_max_row, C22+1,
IF(C22=income_max_row, income_total_row,
IF(C22=income_total_row, "/1",
IF(C22="/1", expenses_header_row,
IF(C22&lt;expenses_max_row, C22+1,
IF(C22=expenses_max_row, expenses_total_row,
IF(C22=expenses_total_row, "/2",
IF(C22="/2", savings_header_row,
IF(C22&lt;savings_max_row, C22+1,
IF(C22=savings_max_row, savings_total_row, -1)))))))))))</f>
        <v>33</v>
      </c>
      <c r="D23" s="94">
        <f t="shared" si="0"/>
        <v>29</v>
      </c>
      <c r="E23" s="93" cm="1">
        <f t="array" ref="E23">1*OR(row_id=income_header_row, row_id=expenses_header_row, row_id=savings_header_row)</f>
        <v>0</v>
      </c>
      <c r="F23" s="78">
        <f t="shared" si="1"/>
        <v>1</v>
      </c>
      <c r="G23" s="78" cm="1">
        <f t="array" ref="G23">1*OR(row_id=income_total_row, row_id=expenses_total_row, row_id=savings_total_row)</f>
        <v>0</v>
      </c>
      <c r="H23" s="95">
        <f t="shared" si="2"/>
        <v>0</v>
      </c>
      <c r="I23" s="93" t="str" cm="1">
        <f t="array" ref="I23">IFERROR(INDEX('Budget Planning'!$C:$C, header_row_id),"")</f>
        <v>Expenses</v>
      </c>
      <c r="J23" s="78" t="str" cm="1">
        <f t="array" ref="J23">IFERROR(INDEX('Budget Planning'!$C:$C, row_id), "")</f>
        <v>Utilities</v>
      </c>
      <c r="K23" s="96" cm="1">
        <f t="array" ref="K23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3" s="96" cm="1">
        <f t="array" ref="L23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513</v>
      </c>
      <c r="M23" s="101" cm="1">
        <f t="array" ref="M2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23" s="102" cm="1">
        <f t="array" ref="N2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23" s="101" t="str">
        <f t="shared" si="3"/>
        <v>$K$20:$K$31</v>
      </c>
      <c r="P23" s="41">
        <f t="shared" ca="1" si="4"/>
        <v>5</v>
      </c>
      <c r="Q23" s="41" t="str">
        <f t="shared" si="5"/>
        <v>$L$20:$L$31</v>
      </c>
      <c r="R23" s="104">
        <f t="shared" ca="1" si="6"/>
        <v>4</v>
      </c>
      <c r="S23" s="107">
        <f t="shared" ca="1" si="7"/>
        <v>54</v>
      </c>
      <c r="T23" s="41" t="str">
        <f t="shared" si="8"/>
        <v>$S$20:$S$31</v>
      </c>
      <c r="U23" s="41">
        <f t="shared" ca="1" si="9"/>
        <v>5</v>
      </c>
      <c r="V23" s="41" t="str">
        <f t="shared" si="10"/>
        <v>$U$20:$U$23</v>
      </c>
      <c r="W23" s="108">
        <f t="shared" ca="1" si="11"/>
        <v>5</v>
      </c>
      <c r="X23" s="110">
        <f t="shared" ca="1" si="12"/>
        <v>34</v>
      </c>
      <c r="Y23" s="112" t="str">
        <f t="shared" ca="1" si="13"/>
        <v>Transport</v>
      </c>
      <c r="Z23" s="114">
        <f t="shared" ca="1" si="14"/>
        <v>100</v>
      </c>
      <c r="AA23" s="114">
        <f t="shared" ca="1" si="15"/>
        <v>15531</v>
      </c>
      <c r="AB23" s="113">
        <f t="shared" ca="1" si="16"/>
        <v>6.4387354323610846E-3</v>
      </c>
      <c r="AC23" s="114">
        <f t="shared" ca="1" si="17"/>
        <v>15431</v>
      </c>
      <c r="AD23" s="114">
        <f t="shared" ca="1" si="18"/>
        <v>0</v>
      </c>
      <c r="AF23" s="119"/>
      <c r="AK23" s="120"/>
      <c r="AM23" s="119"/>
      <c r="AR23" s="120"/>
    </row>
    <row r="24" spans="3:44" ht="16" customHeight="1" x14ac:dyDescent="0.2">
      <c r="C24" s="93" cm="1">
        <f t="array" ref="C24" xml:space="preserve"> IF(C23=-1,-1,
IF(C23&lt;income_max_row, C23+1,
IF(C23=income_max_row, income_total_row,
IF(C23=income_total_row, "/1",
IF(C23="/1", expenses_header_row,
IF(C23&lt;expenses_max_row, C23+1,
IF(C23=expenses_max_row, expenses_total_row,
IF(C23=expenses_total_row, "/2",
IF(C23="/2", savings_header_row,
IF(C23&lt;savings_max_row, C23+1,
IF(C23=savings_max_row, savings_total_row, -1)))))))))))</f>
        <v>34</v>
      </c>
      <c r="D24" s="94">
        <f t="shared" si="0"/>
        <v>29</v>
      </c>
      <c r="E24" s="93" cm="1">
        <f t="array" ref="E24">1*OR(row_id=income_header_row, row_id=expenses_header_row, row_id=savings_header_row)</f>
        <v>0</v>
      </c>
      <c r="F24" s="78">
        <f t="shared" si="1"/>
        <v>1</v>
      </c>
      <c r="G24" s="78" cm="1">
        <f t="array" ref="G24">1*OR(row_id=income_total_row, row_id=expenses_total_row, row_id=savings_total_row)</f>
        <v>0</v>
      </c>
      <c r="H24" s="95">
        <f t="shared" si="2"/>
        <v>0</v>
      </c>
      <c r="I24" s="93" t="str" cm="1">
        <f t="array" ref="I24">IFERROR(INDEX('Budget Planning'!$C:$C, header_row_id),"")</f>
        <v>Expenses</v>
      </c>
      <c r="J24" s="78" t="str" cm="1">
        <f t="array" ref="J24">IFERROR(INDEX('Budget Planning'!$C:$C, row_id), "")</f>
        <v>Insurance</v>
      </c>
      <c r="K24" s="96" cm="1">
        <f t="array" ref="K24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4" s="96" cm="1">
        <f t="array" ref="L24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4" s="101" cm="1">
        <f t="array" ref="M2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24" s="102" cm="1">
        <f t="array" ref="N2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24" s="101" t="str">
        <f t="shared" si="3"/>
        <v>$K$20:$K$31</v>
      </c>
      <c r="P24" s="41">
        <f t="shared" ca="1" si="4"/>
        <v>5</v>
      </c>
      <c r="Q24" s="41" t="str">
        <f t="shared" si="5"/>
        <v>$L$20:$L$31</v>
      </c>
      <c r="R24" s="104">
        <f t="shared" ca="1" si="6"/>
        <v>5</v>
      </c>
      <c r="S24" s="107">
        <f t="shared" ca="1" si="7"/>
        <v>55</v>
      </c>
      <c r="T24" s="41" t="str">
        <f t="shared" si="8"/>
        <v>$S$20:$S$31</v>
      </c>
      <c r="U24" s="41">
        <f t="shared" ca="1" si="9"/>
        <v>6</v>
      </c>
      <c r="V24" s="41" t="str">
        <f t="shared" si="10"/>
        <v>$U$20:$U$24</v>
      </c>
      <c r="W24" s="108">
        <f t="shared" ca="1" si="11"/>
        <v>6</v>
      </c>
      <c r="X24" s="110">
        <f t="shared" ca="1" si="12"/>
        <v>35</v>
      </c>
      <c r="Y24" s="112" t="str">
        <f t="shared" ca="1" si="13"/>
        <v>Utilities</v>
      </c>
      <c r="Z24" s="114">
        <f t="shared" ca="1" si="14"/>
        <v>0</v>
      </c>
      <c r="AA24" s="114">
        <f t="shared" ca="1" si="15"/>
        <v>513</v>
      </c>
      <c r="AB24" s="113">
        <f t="shared" ca="1" si="16"/>
        <v>0</v>
      </c>
      <c r="AC24" s="114">
        <f t="shared" ca="1" si="17"/>
        <v>513</v>
      </c>
      <c r="AD24" s="114">
        <f t="shared" ca="1" si="18"/>
        <v>0</v>
      </c>
      <c r="AF24" s="121"/>
      <c r="AG24" s="122"/>
      <c r="AH24" s="122"/>
      <c r="AI24" s="122"/>
      <c r="AJ24" s="122"/>
      <c r="AK24" s="123"/>
      <c r="AM24" s="121"/>
      <c r="AN24" s="122"/>
      <c r="AO24" s="122"/>
      <c r="AP24" s="122"/>
      <c r="AQ24" s="122"/>
      <c r="AR24" s="123"/>
    </row>
    <row r="25" spans="3:44" ht="16" customHeight="1" x14ac:dyDescent="0.2">
      <c r="C25" s="93" cm="1">
        <f t="array" ref="C25" xml:space="preserve"> IF(C24=-1,-1,
IF(C24&lt;income_max_row, C24+1,
IF(C24=income_max_row, income_total_row,
IF(C24=income_total_row, "/1",
IF(C24="/1", expenses_header_row,
IF(C24&lt;expenses_max_row, C24+1,
IF(C24=expenses_max_row, expenses_total_row,
IF(C24=expenses_total_row, "/2",
IF(C24="/2", savings_header_row,
IF(C24&lt;savings_max_row, C24+1,
IF(C24=savings_max_row, savings_total_row, -1)))))))))))</f>
        <v>35</v>
      </c>
      <c r="D25" s="94">
        <f t="shared" si="0"/>
        <v>29</v>
      </c>
      <c r="E25" s="93" cm="1">
        <f t="array" ref="E25">1*OR(row_id=income_header_row, row_id=expenses_header_row, row_id=savings_header_row)</f>
        <v>0</v>
      </c>
      <c r="F25" s="78">
        <f t="shared" si="1"/>
        <v>1</v>
      </c>
      <c r="G25" s="78" cm="1">
        <f t="array" ref="G25">1*OR(row_id=income_total_row, row_id=expenses_total_row, row_id=savings_total_row)</f>
        <v>0</v>
      </c>
      <c r="H25" s="95">
        <f t="shared" si="2"/>
        <v>0</v>
      </c>
      <c r="I25" s="93" t="str" cm="1">
        <f t="array" ref="I25">IFERROR(INDEX('Budget Planning'!$C:$C, header_row_id),"")</f>
        <v>Expenses</v>
      </c>
      <c r="J25" s="78" t="str" cm="1">
        <f t="array" ref="J25">IFERROR(INDEX('Budget Planning'!$C:$C, row_id), "")</f>
        <v>Clothing</v>
      </c>
      <c r="K25" s="96" cm="1">
        <f t="array" ref="K25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150</v>
      </c>
      <c r="L25" s="96" cm="1">
        <f t="array" ref="L25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5" s="101" cm="1">
        <f t="array" ref="M2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25" s="102" cm="1">
        <f t="array" ref="N2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25" s="101" t="str">
        <f t="shared" si="3"/>
        <v>$K$20:$K$31</v>
      </c>
      <c r="P25" s="41">
        <f t="shared" ca="1" si="4"/>
        <v>3</v>
      </c>
      <c r="Q25" s="41" t="str">
        <f t="shared" si="5"/>
        <v>$L$20:$L$31</v>
      </c>
      <c r="R25" s="104">
        <f t="shared" ca="1" si="6"/>
        <v>5</v>
      </c>
      <c r="S25" s="107">
        <f t="shared" ca="1" si="7"/>
        <v>35</v>
      </c>
      <c r="T25" s="41" t="str">
        <f t="shared" si="8"/>
        <v>$S$20:$S$31</v>
      </c>
      <c r="U25" s="41">
        <f t="shared" ca="1" si="9"/>
        <v>3</v>
      </c>
      <c r="V25" s="41" t="str">
        <f t="shared" si="10"/>
        <v>$U$20:$U$25</v>
      </c>
      <c r="W25" s="108">
        <f t="shared" ca="1" si="11"/>
        <v>3</v>
      </c>
      <c r="X25" s="110">
        <f t="shared" ca="1" si="12"/>
        <v>32</v>
      </c>
      <c r="Y25" s="112" t="str">
        <f t="shared" ca="1" si="13"/>
        <v>Insurance</v>
      </c>
      <c r="Z25" s="114">
        <f t="shared" ca="1" si="14"/>
        <v>0</v>
      </c>
      <c r="AA25" s="114">
        <f t="shared" ca="1" si="15"/>
        <v>0</v>
      </c>
      <c r="AB25" s="113" t="str">
        <f t="shared" ca="1" si="16"/>
        <v>-</v>
      </c>
      <c r="AC25" s="114">
        <f t="shared" ca="1" si="17"/>
        <v>0</v>
      </c>
      <c r="AD25" s="114">
        <f t="shared" ca="1" si="18"/>
        <v>0</v>
      </c>
    </row>
    <row r="26" spans="3:44" ht="16" customHeight="1" x14ac:dyDescent="0.2">
      <c r="C26" s="93" cm="1">
        <f t="array" ref="C26" xml:space="preserve"> IF(C25=-1,-1,
IF(C25&lt;income_max_row, C25+1,
IF(C25=income_max_row, income_total_row,
IF(C25=income_total_row, "/1",
IF(C25="/1", expenses_header_row,
IF(C25&lt;expenses_max_row, C25+1,
IF(C25=expenses_max_row, expenses_total_row,
IF(C25=expenses_total_row, "/2",
IF(C25="/2", savings_header_row,
IF(C25&lt;savings_max_row, C25+1,
IF(C25=savings_max_row, savings_total_row, -1)))))))))))</f>
        <v>36</v>
      </c>
      <c r="D26" s="94">
        <f t="shared" si="0"/>
        <v>29</v>
      </c>
      <c r="E26" s="93" cm="1">
        <f t="array" ref="E26">1*OR(row_id=income_header_row, row_id=expenses_header_row, row_id=savings_header_row)</f>
        <v>0</v>
      </c>
      <c r="F26" s="78">
        <f t="shared" si="1"/>
        <v>1</v>
      </c>
      <c r="G26" s="78" cm="1">
        <f t="array" ref="G26">1*OR(row_id=income_total_row, row_id=expenses_total_row, row_id=savings_total_row)</f>
        <v>0</v>
      </c>
      <c r="H26" s="95">
        <f t="shared" si="2"/>
        <v>0</v>
      </c>
      <c r="I26" s="93" t="str" cm="1">
        <f t="array" ref="I26">IFERROR(INDEX('Budget Planning'!$C:$C, header_row_id),"")</f>
        <v>Expenses</v>
      </c>
      <c r="J26" s="78" t="str" cm="1">
        <f t="array" ref="J26">IFERROR(INDEX('Budget Planning'!$C:$C, row_id), "")</f>
        <v>Cosmetics</v>
      </c>
      <c r="K26" s="96" cm="1">
        <f t="array" ref="K26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6" s="96" cm="1">
        <f t="array" ref="L26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6" s="101" cm="1">
        <f t="array" ref="M2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26" s="102" cm="1">
        <f t="array" ref="N2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26" s="101" t="str">
        <f t="shared" si="3"/>
        <v>$K$20:$K$31</v>
      </c>
      <c r="P26" s="41">
        <f t="shared" ca="1" si="4"/>
        <v>5</v>
      </c>
      <c r="Q26" s="41" t="str">
        <f t="shared" si="5"/>
        <v>$L$20:$L$31</v>
      </c>
      <c r="R26" s="104">
        <f t="shared" ca="1" si="6"/>
        <v>5</v>
      </c>
      <c r="S26" s="107">
        <f t="shared" ca="1" si="7"/>
        <v>55</v>
      </c>
      <c r="T26" s="41" t="str">
        <f t="shared" si="8"/>
        <v>$S$20:$S$31</v>
      </c>
      <c r="U26" s="41">
        <f t="shared" ca="1" si="9"/>
        <v>6</v>
      </c>
      <c r="V26" s="41" t="str">
        <f t="shared" si="10"/>
        <v>$U$20:$U$26</v>
      </c>
      <c r="W26" s="108">
        <f t="shared" ca="1" si="11"/>
        <v>7</v>
      </c>
      <c r="X26" s="110">
        <f t="shared" ca="1" si="12"/>
        <v>36</v>
      </c>
      <c r="Y26" s="112" t="str">
        <f t="shared" ca="1" si="13"/>
        <v>Cosmetics</v>
      </c>
      <c r="Z26" s="114">
        <f t="shared" ca="1" si="14"/>
        <v>0</v>
      </c>
      <c r="AA26" s="114">
        <f t="shared" ca="1" si="15"/>
        <v>0</v>
      </c>
      <c r="AB26" s="113" t="str">
        <f t="shared" ca="1" si="16"/>
        <v>-</v>
      </c>
      <c r="AC26" s="114">
        <f t="shared" ca="1" si="17"/>
        <v>0</v>
      </c>
      <c r="AD26" s="114">
        <f t="shared" ca="1" si="18"/>
        <v>0</v>
      </c>
      <c r="AF26" s="116"/>
      <c r="AG26" s="117"/>
      <c r="AH26" s="117"/>
      <c r="AI26" s="117"/>
      <c r="AJ26" s="117"/>
      <c r="AK26" s="118"/>
      <c r="AM26" s="116"/>
      <c r="AN26" s="117"/>
      <c r="AO26" s="117"/>
      <c r="AP26" s="117"/>
      <c r="AQ26" s="117"/>
      <c r="AR26" s="118"/>
    </row>
    <row r="27" spans="3:44" ht="16" customHeight="1" x14ac:dyDescent="0.2">
      <c r="C27" s="93" cm="1">
        <f t="array" ref="C27" xml:space="preserve"> IF(C26=-1,-1,
IF(C26&lt;income_max_row, C26+1,
IF(C26=income_max_row, income_total_row,
IF(C26=income_total_row, "/1",
IF(C26="/1", expenses_header_row,
IF(C26&lt;expenses_max_row, C26+1,
IF(C26=expenses_max_row, expenses_total_row,
IF(C26=expenses_total_row, "/2",
IF(C26="/2", savings_header_row,
IF(C26&lt;savings_max_row, C26+1,
IF(C26=savings_max_row, savings_total_row, -1)))))))))))</f>
        <v>37</v>
      </c>
      <c r="D27" s="94">
        <f t="shared" si="0"/>
        <v>29</v>
      </c>
      <c r="E27" s="93" cm="1">
        <f t="array" ref="E27">1*OR(row_id=income_header_row, row_id=expenses_header_row, row_id=savings_header_row)</f>
        <v>0</v>
      </c>
      <c r="F27" s="78">
        <f t="shared" si="1"/>
        <v>1</v>
      </c>
      <c r="G27" s="78" cm="1">
        <f t="array" ref="G27">1*OR(row_id=income_total_row, row_id=expenses_total_row, row_id=savings_total_row)</f>
        <v>0</v>
      </c>
      <c r="H27" s="95">
        <f t="shared" si="2"/>
        <v>0</v>
      </c>
      <c r="I27" s="93" t="str" cm="1">
        <f t="array" ref="I27">IFERROR(INDEX('Budget Planning'!$C:$C, header_row_id),"")</f>
        <v>Expenses</v>
      </c>
      <c r="J27" s="78" t="str" cm="1">
        <f t="array" ref="J27">IFERROR(INDEX('Budget Planning'!$C:$C, row_id), "")</f>
        <v>Medicine</v>
      </c>
      <c r="K27" s="96" cm="1">
        <f t="array" ref="K27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7" s="96" cm="1">
        <f t="array" ref="L27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7" s="101" cm="1">
        <f t="array" ref="M2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27" s="102" cm="1">
        <f t="array" ref="N2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27" s="101" t="str">
        <f t="shared" si="3"/>
        <v>$K$20:$K$31</v>
      </c>
      <c r="P27" s="41">
        <f t="shared" ca="1" si="4"/>
        <v>5</v>
      </c>
      <c r="Q27" s="41" t="str">
        <f t="shared" si="5"/>
        <v>$L$20:$L$31</v>
      </c>
      <c r="R27" s="104">
        <f t="shared" ca="1" si="6"/>
        <v>5</v>
      </c>
      <c r="S27" s="107">
        <f t="shared" ca="1" si="7"/>
        <v>55</v>
      </c>
      <c r="T27" s="41" t="str">
        <f t="shared" si="8"/>
        <v>$S$20:$S$31</v>
      </c>
      <c r="U27" s="41">
        <f t="shared" ca="1" si="9"/>
        <v>6</v>
      </c>
      <c r="V27" s="41" t="str">
        <f t="shared" si="10"/>
        <v>$U$20:$U$27</v>
      </c>
      <c r="W27" s="108">
        <f t="shared" ca="1" si="11"/>
        <v>8</v>
      </c>
      <c r="X27" s="110">
        <f t="shared" ca="1" si="12"/>
        <v>37</v>
      </c>
      <c r="Y27" s="112" t="str">
        <f t="shared" ca="1" si="13"/>
        <v>Medicine</v>
      </c>
      <c r="Z27" s="114">
        <f t="shared" ca="1" si="14"/>
        <v>0</v>
      </c>
      <c r="AA27" s="114">
        <f t="shared" ca="1" si="15"/>
        <v>0</v>
      </c>
      <c r="AB27" s="113" t="str">
        <f t="shared" ca="1" si="16"/>
        <v>-</v>
      </c>
      <c r="AC27" s="114">
        <f t="shared" ca="1" si="17"/>
        <v>0</v>
      </c>
      <c r="AD27" s="114">
        <f t="shared" ca="1" si="18"/>
        <v>0</v>
      </c>
      <c r="AF27" s="119"/>
      <c r="AK27" s="120"/>
      <c r="AM27" s="119"/>
      <c r="AR27" s="120"/>
    </row>
    <row r="28" spans="3:44" ht="16" customHeight="1" x14ac:dyDescent="0.2">
      <c r="C28" s="93" cm="1">
        <f t="array" ref="C28" xml:space="preserve"> IF(C27=-1,-1,
IF(C27&lt;income_max_row, C27+1,
IF(C27=income_max_row, income_total_row,
IF(C27=income_total_row, "/1",
IF(C27="/1", expenses_header_row,
IF(C27&lt;expenses_max_row, C27+1,
IF(C27=expenses_max_row, expenses_total_row,
IF(C27=expenses_total_row, "/2",
IF(C27="/2", savings_header_row,
IF(C27&lt;savings_max_row, C27+1,
IF(C27=savings_max_row, savings_total_row, -1)))))))))))</f>
        <v>38</v>
      </c>
      <c r="D28" s="94">
        <f t="shared" si="0"/>
        <v>29</v>
      </c>
      <c r="E28" s="93" cm="1">
        <f t="array" ref="E28">1*OR(row_id=income_header_row, row_id=expenses_header_row, row_id=savings_header_row)</f>
        <v>0</v>
      </c>
      <c r="F28" s="78">
        <f t="shared" si="1"/>
        <v>1</v>
      </c>
      <c r="G28" s="78" cm="1">
        <f t="array" ref="G28">1*OR(row_id=income_total_row, row_id=expenses_total_row, row_id=savings_total_row)</f>
        <v>0</v>
      </c>
      <c r="H28" s="95">
        <f t="shared" si="2"/>
        <v>0</v>
      </c>
      <c r="I28" s="93" t="str" cm="1">
        <f t="array" ref="I28">IFERROR(INDEX('Budget Planning'!$C:$C, header_row_id),"")</f>
        <v>Expenses</v>
      </c>
      <c r="J28" s="78" t="str" cm="1">
        <f t="array" ref="J28">IFERROR(INDEX('Budget Planning'!$C:$C, row_id), "")</f>
        <v>Media</v>
      </c>
      <c r="K28" s="96" cm="1">
        <f t="array" ref="K28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8" s="96" cm="1">
        <f t="array" ref="L28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8" s="101" cm="1">
        <f t="array" ref="M2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28" s="102" cm="1">
        <f t="array" ref="N2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28" s="101" t="str">
        <f t="shared" si="3"/>
        <v>$K$20:$K$31</v>
      </c>
      <c r="P28" s="41">
        <f t="shared" ca="1" si="4"/>
        <v>5</v>
      </c>
      <c r="Q28" s="41" t="str">
        <f t="shared" si="5"/>
        <v>$L$20:$L$31</v>
      </c>
      <c r="R28" s="104">
        <f t="shared" ca="1" si="6"/>
        <v>5</v>
      </c>
      <c r="S28" s="107">
        <f t="shared" ca="1" si="7"/>
        <v>55</v>
      </c>
      <c r="T28" s="41" t="str">
        <f t="shared" si="8"/>
        <v>$S$20:$S$31</v>
      </c>
      <c r="U28" s="41">
        <f t="shared" ca="1" si="9"/>
        <v>6</v>
      </c>
      <c r="V28" s="41" t="str">
        <f t="shared" si="10"/>
        <v>$U$20:$U$28</v>
      </c>
      <c r="W28" s="108">
        <f t="shared" ca="1" si="11"/>
        <v>9</v>
      </c>
      <c r="X28" s="110">
        <f t="shared" ca="1" si="12"/>
        <v>38</v>
      </c>
      <c r="Y28" s="112" t="str">
        <f t="shared" ca="1" si="13"/>
        <v>Media</v>
      </c>
      <c r="Z28" s="114">
        <f t="shared" ca="1" si="14"/>
        <v>0</v>
      </c>
      <c r="AA28" s="114">
        <f t="shared" ca="1" si="15"/>
        <v>0</v>
      </c>
      <c r="AB28" s="113" t="str">
        <f t="shared" ca="1" si="16"/>
        <v>-</v>
      </c>
      <c r="AC28" s="114">
        <f t="shared" ca="1" si="17"/>
        <v>0</v>
      </c>
      <c r="AD28" s="114">
        <f t="shared" ca="1" si="18"/>
        <v>0</v>
      </c>
      <c r="AF28" s="119"/>
      <c r="AK28" s="120"/>
      <c r="AM28" s="119"/>
      <c r="AR28" s="120"/>
    </row>
    <row r="29" spans="3:44" ht="16" customHeight="1" x14ac:dyDescent="0.2">
      <c r="C29" s="93" cm="1">
        <f t="array" ref="C29" xml:space="preserve"> IF(C28=-1,-1,
IF(C28&lt;income_max_row, C28+1,
IF(C28=income_max_row, income_total_row,
IF(C28=income_total_row, "/1",
IF(C28="/1", expenses_header_row,
IF(C28&lt;expenses_max_row, C28+1,
IF(C28=expenses_max_row, expenses_total_row,
IF(C28=expenses_total_row, "/2",
IF(C28="/2", savings_header_row,
IF(C28&lt;savings_max_row, C28+1,
IF(C28=savings_max_row, savings_total_row, -1)))))))))))</f>
        <v>39</v>
      </c>
      <c r="D29" s="94">
        <f t="shared" si="0"/>
        <v>29</v>
      </c>
      <c r="E29" s="93" cm="1">
        <f t="array" ref="E29">1*OR(row_id=income_header_row, row_id=expenses_header_row, row_id=savings_header_row)</f>
        <v>0</v>
      </c>
      <c r="F29" s="78">
        <f t="shared" si="1"/>
        <v>1</v>
      </c>
      <c r="G29" s="78" cm="1">
        <f t="array" ref="G29">1*OR(row_id=income_total_row, row_id=expenses_total_row, row_id=savings_total_row)</f>
        <v>0</v>
      </c>
      <c r="H29" s="95">
        <f t="shared" si="2"/>
        <v>0</v>
      </c>
      <c r="I29" s="93" t="str" cm="1">
        <f t="array" ref="I29">IFERROR(INDEX('Budget Planning'!$C:$C, header_row_id),"")</f>
        <v>Expenses</v>
      </c>
      <c r="J29" s="78" t="str" cm="1">
        <f t="array" ref="J29">IFERROR(INDEX('Budget Planning'!$C:$C, row_id), "")</f>
        <v>Fun &amp; Vacation</v>
      </c>
      <c r="K29" s="96" cm="1">
        <f t="array" ref="K29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29" s="96" cm="1">
        <f t="array" ref="L29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29" s="101" cm="1">
        <f t="array" ref="M2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29" s="102" cm="1">
        <f t="array" ref="N2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29" s="101" t="str">
        <f t="shared" si="3"/>
        <v>$K$20:$K$31</v>
      </c>
      <c r="P29" s="41">
        <f t="shared" ca="1" si="4"/>
        <v>5</v>
      </c>
      <c r="Q29" s="41" t="str">
        <f t="shared" si="5"/>
        <v>$L$20:$L$31</v>
      </c>
      <c r="R29" s="104">
        <f t="shared" ca="1" si="6"/>
        <v>5</v>
      </c>
      <c r="S29" s="107">
        <f t="shared" ca="1" si="7"/>
        <v>55</v>
      </c>
      <c r="T29" s="41" t="str">
        <f t="shared" si="8"/>
        <v>$S$20:$S$31</v>
      </c>
      <c r="U29" s="41">
        <f t="shared" ca="1" si="9"/>
        <v>6</v>
      </c>
      <c r="V29" s="41" t="str">
        <f t="shared" si="10"/>
        <v>$U$20:$U$29</v>
      </c>
      <c r="W29" s="108">
        <f t="shared" ca="1" si="11"/>
        <v>10</v>
      </c>
      <c r="X29" s="110">
        <f t="shared" ca="1" si="12"/>
        <v>39</v>
      </c>
      <c r="Y29" s="112" t="str">
        <f t="shared" ca="1" si="13"/>
        <v>Fun &amp; Vacation</v>
      </c>
      <c r="Z29" s="114">
        <f t="shared" ca="1" si="14"/>
        <v>0</v>
      </c>
      <c r="AA29" s="114">
        <f t="shared" ca="1" si="15"/>
        <v>0</v>
      </c>
      <c r="AB29" s="113" t="str">
        <f t="shared" ca="1" si="16"/>
        <v>-</v>
      </c>
      <c r="AC29" s="114">
        <f t="shared" ca="1" si="17"/>
        <v>0</v>
      </c>
      <c r="AD29" s="114">
        <f t="shared" ca="1" si="18"/>
        <v>0</v>
      </c>
      <c r="AF29" s="119"/>
      <c r="AI29" s="59" t="str">
        <f ca="1">Calculations!I35</f>
        <v>Rent</v>
      </c>
      <c r="AJ29" s="59">
        <f ca="1">Calculations!J35</f>
        <v>1200</v>
      </c>
      <c r="AK29" s="120"/>
      <c r="AM29" s="119"/>
      <c r="AP29" s="59" t="str">
        <f ca="1">Calculations!M35</f>
        <v>Emergency Fund</v>
      </c>
      <c r="AQ29" s="59">
        <f ca="1">Calculations!N35</f>
        <v>1000</v>
      </c>
      <c r="AR29" s="120"/>
    </row>
    <row r="30" spans="3:44" ht="16" customHeight="1" x14ac:dyDescent="0.2">
      <c r="C30" s="93" cm="1">
        <f t="array" ref="C30" xml:space="preserve"> IF(C29=-1,-1,
IF(C29&lt;income_max_row, C29+1,
IF(C29=income_max_row, income_total_row,
IF(C29=income_total_row, "/1",
IF(C29="/1", expenses_header_row,
IF(C29&lt;expenses_max_row, C29+1,
IF(C29=expenses_max_row, expenses_total_row,
IF(C29=expenses_total_row, "/2",
IF(C29="/2", savings_header_row,
IF(C29&lt;savings_max_row, C29+1,
IF(C29=savings_max_row, savings_total_row, -1)))))))))))</f>
        <v>40</v>
      </c>
      <c r="D30" s="94">
        <f t="shared" si="0"/>
        <v>29</v>
      </c>
      <c r="E30" s="93" cm="1">
        <f t="array" ref="E30">1*OR(row_id=income_header_row, row_id=expenses_header_row, row_id=savings_header_row)</f>
        <v>0</v>
      </c>
      <c r="F30" s="78">
        <f t="shared" si="1"/>
        <v>1</v>
      </c>
      <c r="G30" s="78" cm="1">
        <f t="array" ref="G30">1*OR(row_id=income_total_row, row_id=expenses_total_row, row_id=savings_total_row)</f>
        <v>0</v>
      </c>
      <c r="H30" s="95">
        <f t="shared" si="2"/>
        <v>0</v>
      </c>
      <c r="I30" s="93" t="str" cm="1">
        <f t="array" ref="I30">IFERROR(INDEX('Budget Planning'!$C:$C, header_row_id),"")</f>
        <v>Expenses</v>
      </c>
      <c r="J30" s="78" t="str" cm="1">
        <f t="array" ref="J30">IFERROR(INDEX('Budget Planning'!$C:$C, row_id), "")</f>
        <v>Gifting</v>
      </c>
      <c r="K30" s="96" cm="1">
        <f t="array" ref="K30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0" s="96" cm="1">
        <f t="array" ref="L30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0" s="101" cm="1">
        <f t="array" ref="M30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30" s="102" cm="1">
        <f t="array" ref="N30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30" s="101" t="str">
        <f t="shared" si="3"/>
        <v>$K$20:$K$31</v>
      </c>
      <c r="P30" s="41">
        <f t="shared" ca="1" si="4"/>
        <v>5</v>
      </c>
      <c r="Q30" s="41" t="str">
        <f t="shared" si="5"/>
        <v>$L$20:$L$31</v>
      </c>
      <c r="R30" s="104">
        <f t="shared" ca="1" si="6"/>
        <v>5</v>
      </c>
      <c r="S30" s="107">
        <f t="shared" ca="1" si="7"/>
        <v>55</v>
      </c>
      <c r="T30" s="41" t="str">
        <f t="shared" si="8"/>
        <v>$S$20:$S$31</v>
      </c>
      <c r="U30" s="41">
        <f t="shared" ca="1" si="9"/>
        <v>6</v>
      </c>
      <c r="V30" s="41" t="str">
        <f t="shared" si="10"/>
        <v>$U$20:$U$30</v>
      </c>
      <c r="W30" s="108">
        <f t="shared" ca="1" si="11"/>
        <v>11</v>
      </c>
      <c r="X30" s="110">
        <f t="shared" ca="1" si="12"/>
        <v>40</v>
      </c>
      <c r="Y30" s="112" t="str">
        <f t="shared" ca="1" si="13"/>
        <v>Gifting</v>
      </c>
      <c r="Z30" s="114">
        <f t="shared" ca="1" si="14"/>
        <v>0</v>
      </c>
      <c r="AA30" s="114">
        <f t="shared" ca="1" si="15"/>
        <v>0</v>
      </c>
      <c r="AB30" s="113" t="str">
        <f t="shared" ca="1" si="16"/>
        <v>-</v>
      </c>
      <c r="AC30" s="114">
        <f t="shared" ca="1" si="17"/>
        <v>0</v>
      </c>
      <c r="AD30" s="114">
        <f t="shared" ca="1" si="18"/>
        <v>0</v>
      </c>
      <c r="AF30" s="119"/>
      <c r="AI30" s="59" t="str">
        <f ca="1">Calculations!I36</f>
        <v>Groceries</v>
      </c>
      <c r="AJ30" s="59">
        <f ca="1">Calculations!J36</f>
        <v>200</v>
      </c>
      <c r="AK30" s="120"/>
      <c r="AM30" s="119"/>
      <c r="AP30" s="59" t="str">
        <f ca="1">Calculations!M36</f>
        <v>Sinking Fund Future Payment</v>
      </c>
      <c r="AQ30" s="59">
        <f ca="1">Calculations!N36</f>
        <v>500</v>
      </c>
      <c r="AR30" s="120"/>
    </row>
    <row r="31" spans="3:44" ht="16" customHeight="1" x14ac:dyDescent="0.2">
      <c r="C31" s="93" cm="1">
        <f t="array" ref="C31" xml:space="preserve"> IF(C30=-1,-1,
IF(C30&lt;income_max_row, C30+1,
IF(C30=income_max_row, income_total_row,
IF(C30=income_total_row, "/1",
IF(C30="/1", expenses_header_row,
IF(C30&lt;expenses_max_row, C30+1,
IF(C30=expenses_max_row, expenses_total_row,
IF(C30=expenses_total_row, "/2",
IF(C30="/2", savings_header_row,
IF(C30&lt;savings_max_row, C30+1,
IF(C30=savings_max_row, savings_total_row, -1)))))))))))</f>
        <v>41</v>
      </c>
      <c r="D31" s="94">
        <f t="shared" si="0"/>
        <v>29</v>
      </c>
      <c r="E31" s="93" cm="1">
        <f t="array" ref="E31">1*OR(row_id=income_header_row, row_id=expenses_header_row, row_id=savings_header_row)</f>
        <v>0</v>
      </c>
      <c r="F31" s="78">
        <f t="shared" si="1"/>
        <v>1</v>
      </c>
      <c r="G31" s="78" cm="1">
        <f t="array" ref="G31">1*OR(row_id=income_total_row, row_id=expenses_total_row, row_id=savings_total_row)</f>
        <v>0</v>
      </c>
      <c r="H31" s="95">
        <f t="shared" si="2"/>
        <v>0</v>
      </c>
      <c r="I31" s="93" t="str" cm="1">
        <f t="array" ref="I31">IFERROR(INDEX('Budget Planning'!$C:$C, header_row_id),"")</f>
        <v>Expenses</v>
      </c>
      <c r="J31" s="78" t="str" cm="1">
        <f t="array" ref="J31">IFERROR(INDEX('Budget Planning'!$C:$C, row_id), "")</f>
        <v>Miscellaneous</v>
      </c>
      <c r="K31" s="96" cm="1">
        <f t="array" ref="K3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1" s="96" cm="1">
        <f t="array" ref="L3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1" s="101" cm="1">
        <f t="array" ref="M31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20</v>
      </c>
      <c r="N31" s="102" cm="1">
        <f t="array" ref="N31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31</v>
      </c>
      <c r="O31" s="101" t="str">
        <f t="shared" si="3"/>
        <v>$K$20:$K$31</v>
      </c>
      <c r="P31" s="41">
        <f t="shared" ca="1" si="4"/>
        <v>5</v>
      </c>
      <c r="Q31" s="41" t="str">
        <f t="shared" si="5"/>
        <v>$L$20:$L$31</v>
      </c>
      <c r="R31" s="104">
        <f t="shared" ca="1" si="6"/>
        <v>5</v>
      </c>
      <c r="S31" s="107">
        <f t="shared" ca="1" si="7"/>
        <v>55</v>
      </c>
      <c r="T31" s="41" t="str">
        <f t="shared" si="8"/>
        <v>$S$20:$S$31</v>
      </c>
      <c r="U31" s="41">
        <f t="shared" ca="1" si="9"/>
        <v>6</v>
      </c>
      <c r="V31" s="41" t="str">
        <f t="shared" si="10"/>
        <v>$U$20:$U$31</v>
      </c>
      <c r="W31" s="108">
        <f t="shared" ca="1" si="11"/>
        <v>12</v>
      </c>
      <c r="X31" s="110">
        <f t="shared" ca="1" si="12"/>
        <v>41</v>
      </c>
      <c r="Y31" s="112" t="str">
        <f t="shared" ca="1" si="13"/>
        <v>Miscellaneous</v>
      </c>
      <c r="Z31" s="114">
        <f t="shared" ca="1" si="14"/>
        <v>0</v>
      </c>
      <c r="AA31" s="114">
        <f t="shared" ca="1" si="15"/>
        <v>0</v>
      </c>
      <c r="AB31" s="113" t="str">
        <f t="shared" ca="1" si="16"/>
        <v>-</v>
      </c>
      <c r="AC31" s="114">
        <f t="shared" ca="1" si="17"/>
        <v>0</v>
      </c>
      <c r="AD31" s="114">
        <f t="shared" ca="1" si="18"/>
        <v>0</v>
      </c>
      <c r="AF31" s="119"/>
      <c r="AI31" s="59" t="str">
        <f ca="1">Calculations!I37</f>
        <v>Clothing</v>
      </c>
      <c r="AJ31" s="59">
        <f ca="1">Calculations!J37</f>
        <v>150</v>
      </c>
      <c r="AK31" s="120"/>
      <c r="AM31" s="119"/>
      <c r="AP31" s="59" t="str">
        <f ca="1">Calculations!M37</f>
        <v/>
      </c>
      <c r="AQ31" s="59" t="str">
        <f ca="1">Calculations!N37</f>
        <v/>
      </c>
      <c r="AR31" s="120"/>
    </row>
    <row r="32" spans="3:44" ht="16" customHeight="1" x14ac:dyDescent="0.2">
      <c r="C32" s="93" cm="1">
        <f t="array" ref="C32" xml:space="preserve"> IF(C31=-1,-1,
IF(C31&lt;income_max_row, C31+1,
IF(C31=income_max_row, income_total_row,
IF(C31=income_total_row, "/1",
IF(C31="/1", expenses_header_row,
IF(C31&lt;expenses_max_row, C31+1,
IF(C31=expenses_max_row, expenses_total_row,
IF(C31=expenses_total_row, "/2",
IF(C31="/2", savings_header_row,
IF(C31&lt;savings_max_row, C31+1,
IF(C31=savings_max_row, savings_total_row, -1)))))))))))</f>
        <v>46</v>
      </c>
      <c r="D32" s="94">
        <f t="shared" si="0"/>
        <v>29</v>
      </c>
      <c r="E32" s="93" cm="1">
        <f t="array" ref="E32">1*OR(row_id=income_header_row, row_id=expenses_header_row, row_id=savings_header_row)</f>
        <v>0</v>
      </c>
      <c r="F32" s="78">
        <f t="shared" si="1"/>
        <v>0</v>
      </c>
      <c r="G32" s="78" cm="1">
        <f t="array" ref="G32">1*OR(row_id=income_total_row, row_id=expenses_total_row, row_id=savings_total_row)</f>
        <v>1</v>
      </c>
      <c r="H32" s="95">
        <f t="shared" si="2"/>
        <v>0</v>
      </c>
      <c r="I32" s="93" t="str" cm="1">
        <f t="array" ref="I32">IFERROR(INDEX('Budget Planning'!$C:$C, header_row_id),"")</f>
        <v>Expenses</v>
      </c>
      <c r="J32" s="78" t="str" cm="1">
        <f t="array" ref="J32">IFERROR(INDEX('Budget Planning'!$C:$C, row_id), "")</f>
        <v>Total</v>
      </c>
      <c r="K32" s="96" cm="1">
        <f t="array" ref="K32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1650</v>
      </c>
      <c r="L32" s="96" cm="1">
        <f t="array" aca="1" ref="L32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29156</v>
      </c>
      <c r="M32" s="101" t="str" cm="1">
        <f t="array" ref="M32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32" s="102" t="str" cm="1">
        <f t="array" ref="N32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32" s="101" t="str">
        <f t="shared" si="3"/>
        <v/>
      </c>
      <c r="P32" s="41" t="str">
        <f t="shared" ca="1" si="4"/>
        <v/>
      </c>
      <c r="Q32" s="41" t="str">
        <f t="shared" si="5"/>
        <v/>
      </c>
      <c r="R32" s="104" t="str">
        <f t="shared" ca="1" si="6"/>
        <v/>
      </c>
      <c r="S32" s="107" t="str">
        <f t="shared" si="7"/>
        <v/>
      </c>
      <c r="T32" s="41" t="str">
        <f t="shared" si="8"/>
        <v/>
      </c>
      <c r="U32" s="41" t="str">
        <f t="shared" ca="1" si="9"/>
        <v/>
      </c>
      <c r="V32" s="41" t="str">
        <f t="shared" si="10"/>
        <v/>
      </c>
      <c r="W32" s="108" t="str">
        <f t="shared" ca="1" si="11"/>
        <v/>
      </c>
      <c r="X32" s="110">
        <f t="shared" si="12"/>
        <v>46</v>
      </c>
      <c r="Y32" s="112" t="str">
        <f t="shared" ca="1" si="13"/>
        <v>Total</v>
      </c>
      <c r="Z32" s="114">
        <f t="shared" ca="1" si="14"/>
        <v>1650</v>
      </c>
      <c r="AA32" s="114">
        <f t="shared" ca="1" si="15"/>
        <v>29156</v>
      </c>
      <c r="AB32" s="113">
        <f t="shared" ca="1" si="16"/>
        <v>5.6592125120043899E-2</v>
      </c>
      <c r="AC32" s="114">
        <f t="shared" ca="1" si="17"/>
        <v>27506</v>
      </c>
      <c r="AD32" s="114">
        <f t="shared" ca="1" si="18"/>
        <v>0</v>
      </c>
      <c r="AF32" s="119"/>
      <c r="AI32" s="59" t="str">
        <f ca="1">Calculations!I38</f>
        <v>Transport</v>
      </c>
      <c r="AJ32" s="59">
        <f ca="1">Calculations!J38</f>
        <v>100</v>
      </c>
      <c r="AK32" s="120"/>
      <c r="AM32" s="119"/>
      <c r="AP32" s="59" t="str">
        <f ca="1">Calculations!M38</f>
        <v/>
      </c>
      <c r="AQ32" s="59" t="str">
        <f ca="1">Calculations!N38</f>
        <v/>
      </c>
      <c r="AR32" s="120"/>
    </row>
    <row r="33" spans="3:44" ht="16" customHeight="1" x14ac:dyDescent="0.2">
      <c r="C33" s="93" t="str" cm="1">
        <f t="array" ref="C33" xml:space="preserve"> IF(C32=-1,-1,
IF(C32&lt;income_max_row, C32+1,
IF(C32=income_max_row, income_total_row,
IF(C32=income_total_row, "/1",
IF(C32="/1", expenses_header_row,
IF(C32&lt;expenses_max_row, C32+1,
IF(C32=expenses_max_row, expenses_total_row,
IF(C32=expenses_total_row, "/2",
IF(C32="/2", savings_header_row,
IF(C32&lt;savings_max_row, C32+1,
IF(C32=savings_max_row, savings_total_row, -1)))))))))))</f>
        <v>/2</v>
      </c>
      <c r="D33" s="94">
        <f t="shared" si="0"/>
        <v>-1</v>
      </c>
      <c r="E33" s="93" cm="1">
        <f t="array" ref="E33">1*OR(row_id=income_header_row, row_id=expenses_header_row, row_id=savings_header_row)</f>
        <v>0</v>
      </c>
      <c r="F33" s="78">
        <f t="shared" si="1"/>
        <v>0</v>
      </c>
      <c r="G33" s="78" cm="1">
        <f t="array" ref="G33">1*OR(row_id=income_total_row, row_id=expenses_total_row, row_id=savings_total_row)</f>
        <v>0</v>
      </c>
      <c r="H33" s="95">
        <f t="shared" si="2"/>
        <v>1</v>
      </c>
      <c r="I33" s="93" t="str" cm="1">
        <f t="array" ref="I33">IFERROR(INDEX('Budget Planning'!$C:$C, header_row_id),"")</f>
        <v/>
      </c>
      <c r="J33" s="78" t="str" cm="1">
        <f t="array" ref="J33">IFERROR(INDEX('Budget Planning'!$C:$C, row_id), "")</f>
        <v/>
      </c>
      <c r="K33" s="96" t="str" cm="1">
        <f t="array" ref="K33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33" s="96" t="str" cm="1">
        <f t="array" ref="L33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33" s="101" t="str" cm="1">
        <f t="array" ref="M3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33" s="102" t="str" cm="1">
        <f t="array" ref="N3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33" s="101" t="str">
        <f t="shared" si="3"/>
        <v/>
      </c>
      <c r="P33" s="41" t="str">
        <f t="shared" ca="1" si="4"/>
        <v/>
      </c>
      <c r="Q33" s="41" t="str">
        <f t="shared" si="5"/>
        <v/>
      </c>
      <c r="R33" s="104" t="str">
        <f t="shared" ca="1" si="6"/>
        <v/>
      </c>
      <c r="S33" s="107" t="str">
        <f t="shared" si="7"/>
        <v/>
      </c>
      <c r="T33" s="41" t="str">
        <f t="shared" si="8"/>
        <v/>
      </c>
      <c r="U33" s="41" t="str">
        <f t="shared" ca="1" si="9"/>
        <v/>
      </c>
      <c r="V33" s="41" t="str">
        <f t="shared" si="10"/>
        <v/>
      </c>
      <c r="W33" s="108" t="str">
        <f t="shared" ca="1" si="11"/>
        <v/>
      </c>
      <c r="X33" s="110" t="str">
        <f t="shared" si="12"/>
        <v>/2</v>
      </c>
      <c r="Y33" s="112" t="str">
        <f t="shared" si="13"/>
        <v/>
      </c>
      <c r="Z33" s="114" t="str">
        <f t="shared" si="14"/>
        <v/>
      </c>
      <c r="AA33" s="114" t="str">
        <f t="shared" si="15"/>
        <v/>
      </c>
      <c r="AB33" s="113" t="str">
        <f t="shared" si="16"/>
        <v/>
      </c>
      <c r="AC33" s="114" t="str">
        <f t="shared" si="17"/>
        <v/>
      </c>
      <c r="AD33" s="114" t="str">
        <f t="shared" si="18"/>
        <v/>
      </c>
      <c r="AF33" s="119"/>
      <c r="AI33" s="59" t="str">
        <f ca="1">Calculations!I39</f>
        <v/>
      </c>
      <c r="AJ33" s="59" t="str">
        <f ca="1">Calculations!J39</f>
        <v/>
      </c>
      <c r="AK33" s="120"/>
      <c r="AM33" s="119"/>
      <c r="AP33" s="59" t="str">
        <f ca="1">Calculations!M39</f>
        <v/>
      </c>
      <c r="AQ33" s="59" t="str">
        <f ca="1">Calculations!N39</f>
        <v/>
      </c>
      <c r="AR33" s="120"/>
    </row>
    <row r="34" spans="3:44" ht="16" customHeight="1" x14ac:dyDescent="0.2">
      <c r="C34" s="93" cm="1">
        <f t="array" ref="C34" xml:space="preserve"> IF(C33=-1,-1,
IF(C33&lt;income_max_row, C33+1,
IF(C33=income_max_row, income_total_row,
IF(C33=income_total_row, "/1",
IF(C33="/1", expenses_header_row,
IF(C33&lt;expenses_max_row, C33+1,
IF(C33=expenses_max_row, expenses_total_row,
IF(C33=expenses_total_row, "/2",
IF(C33="/2", savings_header_row,
IF(C33&lt;savings_max_row, C33+1,
IF(C33=savings_max_row, savings_total_row, -1)))))))))))</f>
        <v>48</v>
      </c>
      <c r="D34" s="94">
        <f t="shared" si="0"/>
        <v>48</v>
      </c>
      <c r="E34" s="93" cm="1">
        <f t="array" ref="E34">1*OR(row_id=income_header_row, row_id=expenses_header_row, row_id=savings_header_row)</f>
        <v>1</v>
      </c>
      <c r="F34" s="78">
        <f t="shared" si="1"/>
        <v>0</v>
      </c>
      <c r="G34" s="78" cm="1">
        <f t="array" ref="G34">1*OR(row_id=income_total_row, row_id=expenses_total_row, row_id=savings_total_row)</f>
        <v>0</v>
      </c>
      <c r="H34" s="95">
        <f t="shared" si="2"/>
        <v>0</v>
      </c>
      <c r="I34" s="93" t="str" cm="1">
        <f t="array" ref="I34">IFERROR(INDEX('Budget Planning'!$C:$C, header_row_id),"")</f>
        <v>Savings</v>
      </c>
      <c r="J34" s="78" t="str" cm="1">
        <f t="array" ref="J34">IFERROR(INDEX('Budget Planning'!$C:$C, row_id), "")</f>
        <v>Savings</v>
      </c>
      <c r="K34" s="96" t="str" cm="1">
        <f t="array" ref="K34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34" s="96" t="str" cm="1">
        <f t="array" ref="L34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34" s="101" t="str" cm="1">
        <f t="array" ref="M3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34" s="102" t="str" cm="1">
        <f t="array" ref="N3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34" s="101" t="str">
        <f t="shared" si="3"/>
        <v/>
      </c>
      <c r="P34" s="41" t="str">
        <f t="shared" ca="1" si="4"/>
        <v/>
      </c>
      <c r="Q34" s="41" t="str">
        <f t="shared" si="5"/>
        <v/>
      </c>
      <c r="R34" s="104" t="str">
        <f t="shared" ca="1" si="6"/>
        <v/>
      </c>
      <c r="S34" s="107" t="str">
        <f t="shared" si="7"/>
        <v/>
      </c>
      <c r="T34" s="41" t="str">
        <f t="shared" si="8"/>
        <v/>
      </c>
      <c r="U34" s="41" t="str">
        <f t="shared" ca="1" si="9"/>
        <v/>
      </c>
      <c r="V34" s="41" t="str">
        <f t="shared" si="10"/>
        <v/>
      </c>
      <c r="W34" s="108" t="str">
        <f t="shared" ca="1" si="11"/>
        <v/>
      </c>
      <c r="X34" s="110">
        <f t="shared" si="12"/>
        <v>48</v>
      </c>
      <c r="Y34" s="112" t="str">
        <f t="shared" ca="1" si="13"/>
        <v>Savings</v>
      </c>
      <c r="Z34" s="114" t="str">
        <f t="shared" si="14"/>
        <v>Tracked</v>
      </c>
      <c r="AA34" s="114" t="str">
        <f t="shared" si="15"/>
        <v>Budget</v>
      </c>
      <c r="AB34" s="113" t="str">
        <f t="shared" si="16"/>
        <v>% Compl.</v>
      </c>
      <c r="AC34" s="114" t="str">
        <f t="shared" si="17"/>
        <v>Remaining</v>
      </c>
      <c r="AD34" s="114" t="str">
        <f t="shared" si="18"/>
        <v>Excess</v>
      </c>
      <c r="AF34" s="119"/>
      <c r="AI34" s="59" t="str">
        <f ca="1">Calculations!I40</f>
        <v/>
      </c>
      <c r="AJ34" s="59" t="str">
        <f ca="1">Calculations!J40</f>
        <v/>
      </c>
      <c r="AK34" s="120"/>
      <c r="AM34" s="119"/>
      <c r="AP34" s="59" t="str">
        <f ca="1">Calculations!M40</f>
        <v/>
      </c>
      <c r="AQ34" s="59" t="str">
        <f ca="1">Calculations!N40</f>
        <v/>
      </c>
      <c r="AR34" s="120"/>
    </row>
    <row r="35" spans="3:44" ht="16" customHeight="1" x14ac:dyDescent="0.2">
      <c r="C35" s="93" cm="1">
        <f t="array" ref="C35" xml:space="preserve"> IF(C34=-1,-1,
IF(C34&lt;income_max_row, C34+1,
IF(C34=income_max_row, income_total_row,
IF(C34=income_total_row, "/1",
IF(C34="/1", expenses_header_row,
IF(C34&lt;expenses_max_row, C34+1,
IF(C34=expenses_max_row, expenses_total_row,
IF(C34=expenses_total_row, "/2",
IF(C34="/2", savings_header_row,
IF(C34&lt;savings_max_row, C34+1,
IF(C34=savings_max_row, savings_total_row, -1)))))))))))</f>
        <v>49</v>
      </c>
      <c r="D35" s="94">
        <f t="shared" si="0"/>
        <v>48</v>
      </c>
      <c r="E35" s="93" cm="1">
        <f t="array" ref="E35">1*OR(row_id=income_header_row, row_id=expenses_header_row, row_id=savings_header_row)</f>
        <v>0</v>
      </c>
      <c r="F35" s="78">
        <f t="shared" si="1"/>
        <v>1</v>
      </c>
      <c r="G35" s="78" cm="1">
        <f t="array" ref="G35">1*OR(row_id=income_total_row, row_id=expenses_total_row, row_id=savings_total_row)</f>
        <v>0</v>
      </c>
      <c r="H35" s="95">
        <f t="shared" si="2"/>
        <v>0</v>
      </c>
      <c r="I35" s="93" t="str" cm="1">
        <f t="array" ref="I35">IFERROR(INDEX('Budget Planning'!$C:$C, header_row_id),"")</f>
        <v>Savings</v>
      </c>
      <c r="J35" s="78" t="str" cm="1">
        <f t="array" ref="J35">IFERROR(INDEX('Budget Planning'!$C:$C, row_id), "")</f>
        <v>Bank</v>
      </c>
      <c r="K35" s="96" cm="1">
        <f t="array" ref="K35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5" s="96" cm="1">
        <f t="array" ref="L35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5" s="101" cm="1">
        <f t="array" ref="M3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35</v>
      </c>
      <c r="N35" s="102" cm="1">
        <f t="array" ref="N3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40</v>
      </c>
      <c r="O35" s="101" t="str">
        <f t="shared" si="3"/>
        <v>$K$35:$K$40</v>
      </c>
      <c r="P35" s="41">
        <f t="shared" ca="1" si="4"/>
        <v>3</v>
      </c>
      <c r="Q35" s="41" t="str">
        <f t="shared" si="5"/>
        <v>$L$35:$L$40</v>
      </c>
      <c r="R35" s="104">
        <f t="shared" ca="1" si="6"/>
        <v>1</v>
      </c>
      <c r="S35" s="107">
        <f t="shared" ca="1" si="7"/>
        <v>31</v>
      </c>
      <c r="T35" s="41" t="str">
        <f t="shared" si="8"/>
        <v>$S$35:$S$40</v>
      </c>
      <c r="U35" s="41">
        <f t="shared" ca="1" si="9"/>
        <v>3</v>
      </c>
      <c r="V35" s="41" t="str">
        <f t="shared" si="10"/>
        <v>$U$35:$U$35</v>
      </c>
      <c r="W35" s="108">
        <f t="shared" ca="1" si="11"/>
        <v>3</v>
      </c>
      <c r="X35" s="110">
        <f t="shared" ca="1" si="12"/>
        <v>51</v>
      </c>
      <c r="Y35" s="112" t="str">
        <f t="shared" ca="1" si="13"/>
        <v>Emergency Fund</v>
      </c>
      <c r="Z35" s="114">
        <f t="shared" ca="1" si="14"/>
        <v>1000</v>
      </c>
      <c r="AA35" s="114">
        <f t="shared" ca="1" si="15"/>
        <v>0</v>
      </c>
      <c r="AB35" s="113" t="str">
        <f t="shared" ca="1" si="16"/>
        <v>-</v>
      </c>
      <c r="AC35" s="114">
        <f t="shared" ca="1" si="17"/>
        <v>0</v>
      </c>
      <c r="AD35" s="114">
        <f t="shared" ca="1" si="18"/>
        <v>1000</v>
      </c>
      <c r="AF35" s="119"/>
      <c r="AI35" s="135" t="str">
        <f>Calculations!I41</f>
        <v>Total</v>
      </c>
      <c r="AJ35" s="136">
        <f ca="1">Calculations!J41</f>
        <v>1650</v>
      </c>
      <c r="AK35" s="120"/>
      <c r="AM35" s="119"/>
      <c r="AP35" s="135" t="str">
        <f>Calculations!M41</f>
        <v>Total</v>
      </c>
      <c r="AQ35" s="136">
        <f ca="1">Calculations!N41</f>
        <v>1500</v>
      </c>
      <c r="AR35" s="120"/>
    </row>
    <row r="36" spans="3:44" ht="16" customHeight="1" x14ac:dyDescent="0.2">
      <c r="C36" s="93" cm="1">
        <f t="array" ref="C36" xml:space="preserve"> IF(C35=-1,-1,
IF(C35&lt;income_max_row, C35+1,
IF(C35=income_max_row, income_total_row,
IF(C35=income_total_row, "/1",
IF(C35="/1", expenses_header_row,
IF(C35&lt;expenses_max_row, C35+1,
IF(C35=expenses_max_row, expenses_total_row,
IF(C35=expenses_total_row, "/2",
IF(C35="/2", savings_header_row,
IF(C35&lt;savings_max_row, C35+1,
IF(C35=savings_max_row, savings_total_row, -1)))))))))))</f>
        <v>50</v>
      </c>
      <c r="D36" s="94">
        <f t="shared" si="0"/>
        <v>48</v>
      </c>
      <c r="E36" s="93" cm="1">
        <f t="array" ref="E36">1*OR(row_id=income_header_row, row_id=expenses_header_row, row_id=savings_header_row)</f>
        <v>0</v>
      </c>
      <c r="F36" s="78">
        <f t="shared" si="1"/>
        <v>1</v>
      </c>
      <c r="G36" s="78" cm="1">
        <f t="array" ref="G36">1*OR(row_id=income_total_row, row_id=expenses_total_row, row_id=savings_total_row)</f>
        <v>0</v>
      </c>
      <c r="H36" s="95">
        <f t="shared" si="2"/>
        <v>0</v>
      </c>
      <c r="I36" s="93" t="str" cm="1">
        <f t="array" ref="I36">IFERROR(INDEX('Budget Planning'!$C:$C, header_row_id),"")</f>
        <v>Savings</v>
      </c>
      <c r="J36" s="78" t="str" cm="1">
        <f t="array" ref="J36">IFERROR(INDEX('Budget Planning'!$C:$C, row_id), "")</f>
        <v>Emergency Fund</v>
      </c>
      <c r="K36" s="96" cm="1">
        <f t="array" ref="K36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1000</v>
      </c>
      <c r="L36" s="96" cm="1">
        <f t="array" ref="L36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6" s="101" cm="1">
        <f t="array" ref="M3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35</v>
      </c>
      <c r="N36" s="102" cm="1">
        <f t="array" ref="N3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40</v>
      </c>
      <c r="O36" s="101" t="str">
        <f t="shared" si="3"/>
        <v>$K$35:$K$40</v>
      </c>
      <c r="P36" s="41">
        <f t="shared" ca="1" si="4"/>
        <v>1</v>
      </c>
      <c r="Q36" s="41" t="str">
        <f t="shared" si="5"/>
        <v>$L$35:$L$40</v>
      </c>
      <c r="R36" s="104">
        <f t="shared" ca="1" si="6"/>
        <v>1</v>
      </c>
      <c r="S36" s="107">
        <f t="shared" ca="1" si="7"/>
        <v>11</v>
      </c>
      <c r="T36" s="41" t="str">
        <f t="shared" si="8"/>
        <v>$S$35:$S$40</v>
      </c>
      <c r="U36" s="41">
        <f t="shared" ca="1" si="9"/>
        <v>1</v>
      </c>
      <c r="V36" s="41" t="str">
        <f t="shared" si="10"/>
        <v>$U$35:$U$36</v>
      </c>
      <c r="W36" s="108">
        <f t="shared" ca="1" si="11"/>
        <v>1</v>
      </c>
      <c r="X36" s="110">
        <f t="shared" ca="1" si="12"/>
        <v>49</v>
      </c>
      <c r="Y36" s="112" t="str">
        <f t="shared" ca="1" si="13"/>
        <v>Sinking Fund Future Payment</v>
      </c>
      <c r="Z36" s="114">
        <f t="shared" ca="1" si="14"/>
        <v>500</v>
      </c>
      <c r="AA36" s="114">
        <f t="shared" ca="1" si="15"/>
        <v>0</v>
      </c>
      <c r="AB36" s="113" t="str">
        <f t="shared" ca="1" si="16"/>
        <v>-</v>
      </c>
      <c r="AC36" s="114">
        <f t="shared" ca="1" si="17"/>
        <v>0</v>
      </c>
      <c r="AD36" s="114">
        <f t="shared" ca="1" si="18"/>
        <v>500</v>
      </c>
      <c r="AF36" s="119"/>
      <c r="AK36" s="120"/>
      <c r="AM36" s="119"/>
      <c r="AR36" s="120"/>
    </row>
    <row r="37" spans="3:44" ht="16" customHeight="1" x14ac:dyDescent="0.2">
      <c r="C37" s="93" cm="1">
        <f t="array" ref="C37" xml:space="preserve"> IF(C36=-1,-1,
IF(C36&lt;income_max_row, C36+1,
IF(C36=income_max_row, income_total_row,
IF(C36=income_total_row, "/1",
IF(C36="/1", expenses_header_row,
IF(C36&lt;expenses_max_row, C36+1,
IF(C36=expenses_max_row, expenses_total_row,
IF(C36=expenses_total_row, "/2",
IF(C36="/2", savings_header_row,
IF(C36&lt;savings_max_row, C36+1,
IF(C36=savings_max_row, savings_total_row, -1)))))))))))</f>
        <v>51</v>
      </c>
      <c r="D37" s="94">
        <f t="shared" si="0"/>
        <v>48</v>
      </c>
      <c r="E37" s="93" cm="1">
        <f t="array" ref="E37">1*OR(row_id=income_header_row, row_id=expenses_header_row, row_id=savings_header_row)</f>
        <v>0</v>
      </c>
      <c r="F37" s="78">
        <f t="shared" si="1"/>
        <v>1</v>
      </c>
      <c r="G37" s="78" cm="1">
        <f t="array" ref="G37">1*OR(row_id=income_total_row, row_id=expenses_total_row, row_id=savings_total_row)</f>
        <v>0</v>
      </c>
      <c r="H37" s="95">
        <f t="shared" si="2"/>
        <v>0</v>
      </c>
      <c r="I37" s="93" t="str" cm="1">
        <f t="array" ref="I37">IFERROR(INDEX('Budget Planning'!$C:$C, header_row_id),"")</f>
        <v>Savings</v>
      </c>
      <c r="J37" s="78" t="str" cm="1">
        <f t="array" ref="J37">IFERROR(INDEX('Budget Planning'!$C:$C, row_id), "")</f>
        <v>Gold</v>
      </c>
      <c r="K37" s="96" cm="1">
        <f t="array" ref="K37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7" s="96" cm="1">
        <f t="array" ref="L37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7" s="101" cm="1">
        <f t="array" ref="M3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35</v>
      </c>
      <c r="N37" s="102" cm="1">
        <f t="array" ref="N3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40</v>
      </c>
      <c r="O37" s="101" t="str">
        <f t="shared" si="3"/>
        <v>$K$35:$K$40</v>
      </c>
      <c r="P37" s="41">
        <f t="shared" ca="1" si="4"/>
        <v>3</v>
      </c>
      <c r="Q37" s="41" t="str">
        <f t="shared" si="5"/>
        <v>$L$35:$L$40</v>
      </c>
      <c r="R37" s="104">
        <f t="shared" ca="1" si="6"/>
        <v>1</v>
      </c>
      <c r="S37" s="107">
        <f t="shared" ca="1" si="7"/>
        <v>31</v>
      </c>
      <c r="T37" s="41" t="str">
        <f t="shared" si="8"/>
        <v>$S$35:$S$40</v>
      </c>
      <c r="U37" s="41">
        <f t="shared" ca="1" si="9"/>
        <v>3</v>
      </c>
      <c r="V37" s="41" t="str">
        <f t="shared" si="10"/>
        <v>$U$35:$U$37</v>
      </c>
      <c r="W37" s="108">
        <f t="shared" ca="1" si="11"/>
        <v>4</v>
      </c>
      <c r="X37" s="110">
        <f t="shared" ca="1" si="12"/>
        <v>52</v>
      </c>
      <c r="Y37" s="112" t="str">
        <f t="shared" ca="1" si="13"/>
        <v>Bank</v>
      </c>
      <c r="Z37" s="114">
        <f t="shared" ca="1" si="14"/>
        <v>0</v>
      </c>
      <c r="AA37" s="114">
        <f t="shared" ca="1" si="15"/>
        <v>0</v>
      </c>
      <c r="AB37" s="113" t="str">
        <f t="shared" ca="1" si="16"/>
        <v>-</v>
      </c>
      <c r="AC37" s="114">
        <f t="shared" ca="1" si="17"/>
        <v>0</v>
      </c>
      <c r="AD37" s="114">
        <f t="shared" ca="1" si="18"/>
        <v>0</v>
      </c>
      <c r="AF37" s="121"/>
      <c r="AG37" s="122"/>
      <c r="AH37" s="122"/>
      <c r="AI37" s="122"/>
      <c r="AJ37" s="122"/>
      <c r="AK37" s="123"/>
      <c r="AM37" s="121"/>
      <c r="AN37" s="122"/>
      <c r="AO37" s="122"/>
      <c r="AP37" s="122"/>
      <c r="AQ37" s="122"/>
      <c r="AR37" s="123"/>
    </row>
    <row r="38" spans="3:44" ht="16" customHeight="1" x14ac:dyDescent="0.2">
      <c r="C38" s="93" cm="1">
        <f t="array" ref="C38" xml:space="preserve"> IF(C37=-1,-1,
IF(C37&lt;income_max_row, C37+1,
IF(C37=income_max_row, income_total_row,
IF(C37=income_total_row, "/1",
IF(C37="/1", expenses_header_row,
IF(C37&lt;expenses_max_row, C37+1,
IF(C37=expenses_max_row, expenses_total_row,
IF(C37=expenses_total_row, "/2",
IF(C37="/2", savings_header_row,
IF(C37&lt;savings_max_row, C37+1,
IF(C37=savings_max_row, savings_total_row, -1)))))))))))</f>
        <v>52</v>
      </c>
      <c r="D38" s="94">
        <f t="shared" si="0"/>
        <v>48</v>
      </c>
      <c r="E38" s="93" cm="1">
        <f t="array" ref="E38">1*OR(row_id=income_header_row, row_id=expenses_header_row, row_id=savings_header_row)</f>
        <v>0</v>
      </c>
      <c r="F38" s="78">
        <f t="shared" si="1"/>
        <v>1</v>
      </c>
      <c r="G38" s="78" cm="1">
        <f t="array" ref="G38">1*OR(row_id=income_total_row, row_id=expenses_total_row, row_id=savings_total_row)</f>
        <v>0</v>
      </c>
      <c r="H38" s="95">
        <f t="shared" si="2"/>
        <v>0</v>
      </c>
      <c r="I38" s="93" t="str" cm="1">
        <f t="array" ref="I38">IFERROR(INDEX('Budget Planning'!$C:$C, header_row_id),"")</f>
        <v>Savings</v>
      </c>
      <c r="J38" s="78" t="str" cm="1">
        <f t="array" ref="J38">IFERROR(INDEX('Budget Planning'!$C:$C, row_id), "")</f>
        <v>Retirement Fund</v>
      </c>
      <c r="K38" s="96" cm="1">
        <f t="array" ref="K38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8" s="96" cm="1">
        <f t="array" ref="L38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8" s="101" cm="1">
        <f t="array" ref="M3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35</v>
      </c>
      <c r="N38" s="102" cm="1">
        <f t="array" ref="N3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40</v>
      </c>
      <c r="O38" s="101" t="str">
        <f t="shared" si="3"/>
        <v>$K$35:$K$40</v>
      </c>
      <c r="P38" s="41">
        <f t="shared" ca="1" si="4"/>
        <v>3</v>
      </c>
      <c r="Q38" s="41" t="str">
        <f t="shared" si="5"/>
        <v>$L$35:$L$40</v>
      </c>
      <c r="R38" s="104">
        <f t="shared" ca="1" si="6"/>
        <v>1</v>
      </c>
      <c r="S38" s="107">
        <f t="shared" ca="1" si="7"/>
        <v>31</v>
      </c>
      <c r="T38" s="41" t="str">
        <f t="shared" si="8"/>
        <v>$S$35:$S$40</v>
      </c>
      <c r="U38" s="41">
        <f t="shared" ca="1" si="9"/>
        <v>3</v>
      </c>
      <c r="V38" s="41" t="str">
        <f t="shared" si="10"/>
        <v>$U$35:$U$38</v>
      </c>
      <c r="W38" s="108">
        <f t="shared" ca="1" si="11"/>
        <v>5</v>
      </c>
      <c r="X38" s="110">
        <f t="shared" ca="1" si="12"/>
        <v>53</v>
      </c>
      <c r="Y38" s="112" t="str">
        <f t="shared" ca="1" si="13"/>
        <v>Gold</v>
      </c>
      <c r="Z38" s="114">
        <f t="shared" ca="1" si="14"/>
        <v>0</v>
      </c>
      <c r="AA38" s="114">
        <f t="shared" ca="1" si="15"/>
        <v>0</v>
      </c>
      <c r="AB38" s="113" t="str">
        <f t="shared" ca="1" si="16"/>
        <v>-</v>
      </c>
      <c r="AC38" s="114">
        <f t="shared" ca="1" si="17"/>
        <v>0</v>
      </c>
      <c r="AD38" s="114">
        <f t="shared" ca="1" si="18"/>
        <v>0</v>
      </c>
    </row>
    <row r="39" spans="3:44" ht="16" customHeight="1" x14ac:dyDescent="0.2">
      <c r="C39" s="93" cm="1">
        <f t="array" ref="C39" xml:space="preserve"> IF(C38=-1,-1,
IF(C38&lt;income_max_row, C38+1,
IF(C38=income_max_row, income_total_row,
IF(C38=income_total_row, "/1",
IF(C38="/1", expenses_header_row,
IF(C38&lt;expenses_max_row, C38+1,
IF(C38=expenses_max_row, expenses_total_row,
IF(C38=expenses_total_row, "/2",
IF(C38="/2", savings_header_row,
IF(C38&lt;savings_max_row, C38+1,
IF(C38=savings_max_row, savings_total_row, -1)))))))))))</f>
        <v>53</v>
      </c>
      <c r="D39" s="94">
        <f t="shared" si="0"/>
        <v>48</v>
      </c>
      <c r="E39" s="93" cm="1">
        <f t="array" ref="E39">1*OR(row_id=income_header_row, row_id=expenses_header_row, row_id=savings_header_row)</f>
        <v>0</v>
      </c>
      <c r="F39" s="78">
        <f t="shared" si="1"/>
        <v>1</v>
      </c>
      <c r="G39" s="78" cm="1">
        <f t="array" ref="G39">1*OR(row_id=income_total_row, row_id=expenses_total_row, row_id=savings_total_row)</f>
        <v>0</v>
      </c>
      <c r="H39" s="95">
        <f t="shared" si="2"/>
        <v>0</v>
      </c>
      <c r="I39" s="93" t="str" cm="1">
        <f t="array" ref="I39">IFERROR(INDEX('Budget Planning'!$C:$C, header_row_id),"")</f>
        <v>Savings</v>
      </c>
      <c r="J39" s="78" t="str" cm="1">
        <f t="array" ref="J39">IFERROR(INDEX('Budget Planning'!$C:$C, row_id), "")</f>
        <v>Sinking Fund Down Payment</v>
      </c>
      <c r="K39" s="96" cm="1">
        <f t="array" ref="K39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0</v>
      </c>
      <c r="L39" s="96" cm="1">
        <f t="array" ref="L39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39" s="101" cm="1">
        <f t="array" ref="M3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35</v>
      </c>
      <c r="N39" s="102" cm="1">
        <f t="array" ref="N3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40</v>
      </c>
      <c r="O39" s="101" t="str">
        <f t="shared" si="3"/>
        <v>$K$35:$K$40</v>
      </c>
      <c r="P39" s="41">
        <f t="shared" ca="1" si="4"/>
        <v>3</v>
      </c>
      <c r="Q39" s="41" t="str">
        <f t="shared" si="5"/>
        <v>$L$35:$L$40</v>
      </c>
      <c r="R39" s="104">
        <f t="shared" ca="1" si="6"/>
        <v>1</v>
      </c>
      <c r="S39" s="107">
        <f t="shared" ca="1" si="7"/>
        <v>31</v>
      </c>
      <c r="T39" s="41" t="str">
        <f t="shared" si="8"/>
        <v>$S$35:$S$40</v>
      </c>
      <c r="U39" s="41">
        <f t="shared" ca="1" si="9"/>
        <v>3</v>
      </c>
      <c r="V39" s="41" t="str">
        <f t="shared" si="10"/>
        <v>$U$35:$U$39</v>
      </c>
      <c r="W39" s="108">
        <f t="shared" ca="1" si="11"/>
        <v>6</v>
      </c>
      <c r="X39" s="110">
        <f t="shared" ca="1" si="12"/>
        <v>54</v>
      </c>
      <c r="Y39" s="112" t="str">
        <f t="shared" ca="1" si="13"/>
        <v>Retirement Fund</v>
      </c>
      <c r="Z39" s="114">
        <f t="shared" ca="1" si="14"/>
        <v>0</v>
      </c>
      <c r="AA39" s="114">
        <f t="shared" ca="1" si="15"/>
        <v>0</v>
      </c>
      <c r="AB39" s="113" t="str">
        <f t="shared" ca="1" si="16"/>
        <v>-</v>
      </c>
      <c r="AC39" s="114">
        <f t="shared" ca="1" si="17"/>
        <v>0</v>
      </c>
      <c r="AD39" s="114">
        <f t="shared" ca="1" si="18"/>
        <v>0</v>
      </c>
    </row>
    <row r="40" spans="3:44" ht="16" customHeight="1" x14ac:dyDescent="0.2">
      <c r="C40" s="93" cm="1">
        <f t="array" ref="C40" xml:space="preserve"> IF(C39=-1,-1,
IF(C39&lt;income_max_row, C39+1,
IF(C39=income_max_row, income_total_row,
IF(C39=income_total_row, "/1",
IF(C39="/1", expenses_header_row,
IF(C39&lt;expenses_max_row, C39+1,
IF(C39=expenses_max_row, expenses_total_row,
IF(C39=expenses_total_row, "/2",
IF(C39="/2", savings_header_row,
IF(C39&lt;savings_max_row, C39+1,
IF(C39=savings_max_row, savings_total_row, -1)))))))))))</f>
        <v>54</v>
      </c>
      <c r="D40" s="94">
        <f t="shared" si="0"/>
        <v>48</v>
      </c>
      <c r="E40" s="93" cm="1">
        <f t="array" ref="E40">1*OR(row_id=income_header_row, row_id=expenses_header_row, row_id=savings_header_row)</f>
        <v>0</v>
      </c>
      <c r="F40" s="78">
        <f t="shared" si="1"/>
        <v>1</v>
      </c>
      <c r="G40" s="78" cm="1">
        <f t="array" ref="G40">1*OR(row_id=income_total_row, row_id=expenses_total_row, row_id=savings_total_row)</f>
        <v>0</v>
      </c>
      <c r="H40" s="95">
        <f t="shared" si="2"/>
        <v>0</v>
      </c>
      <c r="I40" s="93" t="str" cm="1">
        <f t="array" ref="I40">IFERROR(INDEX('Budget Planning'!$C:$C, header_row_id),"")</f>
        <v>Savings</v>
      </c>
      <c r="J40" s="78" t="str" cm="1">
        <f t="array" ref="J40">IFERROR(INDEX('Budget Planning'!$C:$C, row_id), "")</f>
        <v>Sinking Fund Future Payment</v>
      </c>
      <c r="K40" s="96" cm="1">
        <f t="array" ref="K40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500</v>
      </c>
      <c r="L40" s="96" cm="1">
        <f t="array" ref="L40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40" s="101" cm="1">
        <f t="array" ref="M40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>35</v>
      </c>
      <c r="N40" s="102" cm="1">
        <f t="array" ref="N40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>40</v>
      </c>
      <c r="O40" s="101" t="str">
        <f t="shared" si="3"/>
        <v>$K$35:$K$40</v>
      </c>
      <c r="P40" s="41">
        <f t="shared" ca="1" si="4"/>
        <v>2</v>
      </c>
      <c r="Q40" s="41" t="str">
        <f t="shared" si="5"/>
        <v>$L$35:$L$40</v>
      </c>
      <c r="R40" s="104">
        <f t="shared" ca="1" si="6"/>
        <v>1</v>
      </c>
      <c r="S40" s="107">
        <f t="shared" ca="1" si="7"/>
        <v>21</v>
      </c>
      <c r="T40" s="41" t="str">
        <f t="shared" si="8"/>
        <v>$S$35:$S$40</v>
      </c>
      <c r="U40" s="41">
        <f t="shared" ca="1" si="9"/>
        <v>2</v>
      </c>
      <c r="V40" s="41" t="str">
        <f t="shared" si="10"/>
        <v>$U$35:$U$40</v>
      </c>
      <c r="W40" s="108">
        <f t="shared" ca="1" si="11"/>
        <v>2</v>
      </c>
      <c r="X40" s="110">
        <f t="shared" ca="1" si="12"/>
        <v>50</v>
      </c>
      <c r="Y40" s="112" t="str">
        <f t="shared" ca="1" si="13"/>
        <v>Sinking Fund Down Payment</v>
      </c>
      <c r="Z40" s="114">
        <f t="shared" ca="1" si="14"/>
        <v>0</v>
      </c>
      <c r="AA40" s="114">
        <f t="shared" ca="1" si="15"/>
        <v>0</v>
      </c>
      <c r="AB40" s="113" t="str">
        <f t="shared" ca="1" si="16"/>
        <v>-</v>
      </c>
      <c r="AC40" s="114">
        <f t="shared" ca="1" si="17"/>
        <v>0</v>
      </c>
      <c r="AD40" s="114">
        <f t="shared" ca="1" si="18"/>
        <v>0</v>
      </c>
    </row>
    <row r="41" spans="3:44" ht="16" customHeight="1" x14ac:dyDescent="0.2">
      <c r="C41" s="93" cm="1">
        <f t="array" ref="C41" xml:space="preserve"> IF(C40=-1,-1,
IF(C40&lt;income_max_row, C40+1,
IF(C40=income_max_row, income_total_row,
IF(C40=income_total_row, "/1",
IF(C40="/1", expenses_header_row,
IF(C40&lt;expenses_max_row, C40+1,
IF(C40=expenses_max_row, expenses_total_row,
IF(C40=expenses_total_row, "/2",
IF(C40="/2", savings_header_row,
IF(C40&lt;savings_max_row, C40+1,
IF(C40=savings_max_row, savings_total_row, -1)))))))))))</f>
        <v>65</v>
      </c>
      <c r="D41" s="94">
        <f t="shared" si="0"/>
        <v>48</v>
      </c>
      <c r="E41" s="93" cm="1">
        <f t="array" ref="E41">1*OR(row_id=income_header_row, row_id=expenses_header_row, row_id=savings_header_row)</f>
        <v>0</v>
      </c>
      <c r="F41" s="78">
        <f t="shared" si="1"/>
        <v>0</v>
      </c>
      <c r="G41" s="78" cm="1">
        <f t="array" ref="G41">1*OR(row_id=income_total_row, row_id=expenses_total_row, row_id=savings_total_row)</f>
        <v>1</v>
      </c>
      <c r="H41" s="95">
        <f t="shared" si="2"/>
        <v>0</v>
      </c>
      <c r="I41" s="93" t="str" cm="1">
        <f t="array" ref="I41">IFERROR(INDEX('Budget Planning'!$C:$C, header_row_id),"")</f>
        <v>Savings</v>
      </c>
      <c r="J41" s="78" t="str" cm="1">
        <f t="array" ref="J41">IFERROR(INDEX('Budget Planning'!$C:$C, row_id), "")</f>
        <v>Total</v>
      </c>
      <c r="K41" s="96" cm="1">
        <f t="array" ref="K4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>1500</v>
      </c>
      <c r="L41" s="96" cm="1">
        <f t="array" aca="1" ref="L41" ca="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>0</v>
      </c>
      <c r="M41" s="101" t="str" cm="1">
        <f t="array" ref="M41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1" s="102" t="str" cm="1">
        <f t="array" ref="N41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1" s="101" t="str">
        <f t="shared" si="3"/>
        <v/>
      </c>
      <c r="P41" s="41" t="str">
        <f t="shared" ca="1" si="4"/>
        <v/>
      </c>
      <c r="Q41" s="41" t="str">
        <f t="shared" si="5"/>
        <v/>
      </c>
      <c r="R41" s="104" t="str">
        <f t="shared" ca="1" si="6"/>
        <v/>
      </c>
      <c r="S41" s="107" t="str">
        <f t="shared" si="7"/>
        <v/>
      </c>
      <c r="T41" s="41" t="str">
        <f t="shared" si="8"/>
        <v/>
      </c>
      <c r="U41" s="41" t="str">
        <f t="shared" ca="1" si="9"/>
        <v/>
      </c>
      <c r="V41" s="41" t="str">
        <f t="shared" si="10"/>
        <v/>
      </c>
      <c r="W41" s="108" t="str">
        <f t="shared" ca="1" si="11"/>
        <v/>
      </c>
      <c r="X41" s="110">
        <f t="shared" si="12"/>
        <v>65</v>
      </c>
      <c r="Y41" s="112" t="str">
        <f t="shared" ca="1" si="13"/>
        <v>Total</v>
      </c>
      <c r="Z41" s="114">
        <f t="shared" ca="1" si="14"/>
        <v>1500</v>
      </c>
      <c r="AA41" s="114">
        <f t="shared" ca="1" si="15"/>
        <v>0</v>
      </c>
      <c r="AB41" s="113" t="str">
        <f t="shared" ca="1" si="16"/>
        <v>-</v>
      </c>
      <c r="AC41" s="114">
        <f t="shared" ca="1" si="17"/>
        <v>0</v>
      </c>
      <c r="AD41" s="114">
        <f t="shared" ca="1" si="18"/>
        <v>1500</v>
      </c>
    </row>
    <row r="42" spans="3:44" ht="16" customHeight="1" x14ac:dyDescent="0.2">
      <c r="C42" s="93" cm="1">
        <f t="array" ref="C42" xml:space="preserve"> IF(C41=-1,-1,
IF(C41&lt;income_max_row, C41+1,
IF(C41=income_max_row, income_total_row,
IF(C41=income_total_row, "/1",
IF(C41="/1", expenses_header_row,
IF(C41&lt;expenses_max_row, C41+1,
IF(C41=expenses_max_row, expenses_total_row,
IF(C41=expenses_total_row, "/2",
IF(C41="/2", savings_header_row,
IF(C41&lt;savings_max_row, C41+1,
IF(C41=savings_max_row, savings_total_row, -1)))))))))))</f>
        <v>-1</v>
      </c>
      <c r="D42" s="94">
        <f t="shared" si="0"/>
        <v>-1</v>
      </c>
      <c r="E42" s="93" cm="1">
        <f t="array" ref="E42">1*OR(row_id=income_header_row, row_id=expenses_header_row, row_id=savings_header_row)</f>
        <v>0</v>
      </c>
      <c r="F42" s="78">
        <f t="shared" si="1"/>
        <v>0</v>
      </c>
      <c r="G42" s="78" cm="1">
        <f t="array" ref="G42">1*OR(row_id=income_total_row, row_id=expenses_total_row, row_id=savings_total_row)</f>
        <v>0</v>
      </c>
      <c r="H42" s="95">
        <f t="shared" si="2"/>
        <v>1</v>
      </c>
      <c r="I42" s="93" t="str" cm="1">
        <f t="array" ref="I42">IFERROR(INDEX('Budget Planning'!$C:$C, header_row_id),"")</f>
        <v/>
      </c>
      <c r="J42" s="78" t="str" cm="1">
        <f t="array" ref="J42">IFERROR(INDEX('Budget Planning'!$C:$C, row_id), "")</f>
        <v/>
      </c>
      <c r="K42" s="96" t="str" cm="1">
        <f t="array" ref="K42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2" s="96" t="str" cm="1">
        <f t="array" ref="L42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2" s="101" t="str" cm="1">
        <f t="array" ref="M42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2" s="102" t="str" cm="1">
        <f t="array" ref="N42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2" s="101" t="str">
        <f t="shared" si="3"/>
        <v/>
      </c>
      <c r="P42" s="41" t="str">
        <f t="shared" ca="1" si="4"/>
        <v/>
      </c>
      <c r="Q42" s="41" t="str">
        <f t="shared" si="5"/>
        <v/>
      </c>
      <c r="R42" s="104" t="str">
        <f t="shared" ca="1" si="6"/>
        <v/>
      </c>
      <c r="S42" s="107" t="str">
        <f t="shared" si="7"/>
        <v/>
      </c>
      <c r="T42" s="41" t="str">
        <f t="shared" si="8"/>
        <v/>
      </c>
      <c r="U42" s="41" t="str">
        <f t="shared" ca="1" si="9"/>
        <v/>
      </c>
      <c r="V42" s="41" t="str">
        <f t="shared" si="10"/>
        <v/>
      </c>
      <c r="W42" s="108" t="str">
        <f t="shared" ca="1" si="11"/>
        <v/>
      </c>
      <c r="X42" s="110">
        <f t="shared" si="12"/>
        <v>-1</v>
      </c>
      <c r="Y42" s="41" t="str">
        <f t="shared" si="13"/>
        <v/>
      </c>
      <c r="Z42" s="115" t="str">
        <f t="shared" si="14"/>
        <v/>
      </c>
      <c r="AA42" s="115" t="str">
        <f t="shared" si="15"/>
        <v/>
      </c>
      <c r="AB42" s="111" t="str">
        <f t="shared" si="16"/>
        <v/>
      </c>
      <c r="AC42" s="115" t="str">
        <f t="shared" si="17"/>
        <v/>
      </c>
      <c r="AD42" s="115" t="str">
        <f t="shared" si="18"/>
        <v/>
      </c>
    </row>
    <row r="43" spans="3:44" ht="16" customHeight="1" x14ac:dyDescent="0.2">
      <c r="C43" s="93" cm="1">
        <f t="array" ref="C43" xml:space="preserve"> IF(C42=-1,-1,
IF(C42&lt;income_max_row, C42+1,
IF(C42=income_max_row, income_total_row,
IF(C42=income_total_row, "/1",
IF(C42="/1", expenses_header_row,
IF(C42&lt;expenses_max_row, C42+1,
IF(C42=expenses_max_row, expenses_total_row,
IF(C42=expenses_total_row, "/2",
IF(C42="/2", savings_header_row,
IF(C42&lt;savings_max_row, C42+1,
IF(C42=savings_max_row, savings_total_row, -1)))))))))))</f>
        <v>-1</v>
      </c>
      <c r="D43" s="94">
        <f t="shared" si="0"/>
        <v>-1</v>
      </c>
      <c r="E43" s="93" cm="1">
        <f t="array" ref="E43">1*OR(row_id=income_header_row, row_id=expenses_header_row, row_id=savings_header_row)</f>
        <v>0</v>
      </c>
      <c r="F43" s="78">
        <f t="shared" si="1"/>
        <v>0</v>
      </c>
      <c r="G43" s="78" cm="1">
        <f t="array" ref="G43">1*OR(row_id=income_total_row, row_id=expenses_total_row, row_id=savings_total_row)</f>
        <v>0</v>
      </c>
      <c r="H43" s="95">
        <f t="shared" si="2"/>
        <v>1</v>
      </c>
      <c r="I43" s="93" t="str" cm="1">
        <f t="array" ref="I43">IFERROR(INDEX('Budget Planning'!$C:$C, header_row_id),"")</f>
        <v/>
      </c>
      <c r="J43" s="78" t="str" cm="1">
        <f t="array" ref="J43">IFERROR(INDEX('Budget Planning'!$C:$C, row_id), "")</f>
        <v/>
      </c>
      <c r="K43" s="96" t="str" cm="1">
        <f t="array" ref="K43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3" s="96" t="str" cm="1">
        <f t="array" ref="L43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3" s="101" t="str" cm="1">
        <f t="array" ref="M4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3" s="102" t="str" cm="1">
        <f t="array" ref="N4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3" s="101" t="str">
        <f t="shared" si="3"/>
        <v/>
      </c>
      <c r="P43" s="41" t="str">
        <f t="shared" ca="1" si="4"/>
        <v/>
      </c>
      <c r="Q43" s="41" t="str">
        <f t="shared" si="5"/>
        <v/>
      </c>
      <c r="R43" s="104" t="str">
        <f t="shared" ca="1" si="6"/>
        <v/>
      </c>
      <c r="S43" s="107" t="str">
        <f t="shared" si="7"/>
        <v/>
      </c>
      <c r="T43" s="41" t="str">
        <f t="shared" si="8"/>
        <v/>
      </c>
      <c r="U43" s="41" t="str">
        <f t="shared" ca="1" si="9"/>
        <v/>
      </c>
      <c r="V43" s="41" t="str">
        <f t="shared" si="10"/>
        <v/>
      </c>
      <c r="W43" s="108" t="str">
        <f t="shared" ca="1" si="11"/>
        <v/>
      </c>
      <c r="X43" s="110">
        <f t="shared" si="12"/>
        <v>-1</v>
      </c>
      <c r="Y43" s="41" t="str">
        <f t="shared" si="13"/>
        <v/>
      </c>
      <c r="Z43" s="115" t="str">
        <f t="shared" si="14"/>
        <v/>
      </c>
      <c r="AA43" s="115" t="str">
        <f t="shared" si="15"/>
        <v/>
      </c>
      <c r="AB43" s="111" t="str">
        <f t="shared" si="16"/>
        <v/>
      </c>
      <c r="AC43" s="115" t="str">
        <f t="shared" si="17"/>
        <v/>
      </c>
      <c r="AD43" s="115" t="str">
        <f t="shared" si="18"/>
        <v/>
      </c>
    </row>
    <row r="44" spans="3:44" ht="16" customHeight="1" x14ac:dyDescent="0.2">
      <c r="C44" s="93" cm="1">
        <f t="array" ref="C44" xml:space="preserve"> IF(C43=-1,-1,
IF(C43&lt;income_max_row, C43+1,
IF(C43=income_max_row, income_total_row,
IF(C43=income_total_row, "/1",
IF(C43="/1", expenses_header_row,
IF(C43&lt;expenses_max_row, C43+1,
IF(C43=expenses_max_row, expenses_total_row,
IF(C43=expenses_total_row, "/2",
IF(C43="/2", savings_header_row,
IF(C43&lt;savings_max_row, C43+1,
IF(C43=savings_max_row, savings_total_row, -1)))))))))))</f>
        <v>-1</v>
      </c>
      <c r="D44" s="94">
        <f t="shared" si="0"/>
        <v>-1</v>
      </c>
      <c r="E44" s="93" cm="1">
        <f t="array" ref="E44">1*OR(row_id=income_header_row, row_id=expenses_header_row, row_id=savings_header_row)</f>
        <v>0</v>
      </c>
      <c r="F44" s="78">
        <f t="shared" si="1"/>
        <v>0</v>
      </c>
      <c r="G44" s="78" cm="1">
        <f t="array" ref="G44">1*OR(row_id=income_total_row, row_id=expenses_total_row, row_id=savings_total_row)</f>
        <v>0</v>
      </c>
      <c r="H44" s="95">
        <f t="shared" si="2"/>
        <v>1</v>
      </c>
      <c r="I44" s="93" t="str" cm="1">
        <f t="array" ref="I44">IFERROR(INDEX('Budget Planning'!$C:$C, header_row_id),"")</f>
        <v/>
      </c>
      <c r="J44" s="78" t="str" cm="1">
        <f t="array" ref="J44">IFERROR(INDEX('Budget Planning'!$C:$C, row_id), "")</f>
        <v/>
      </c>
      <c r="K44" s="96" t="str" cm="1">
        <f t="array" ref="K44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4" s="96" t="str" cm="1">
        <f t="array" ref="L44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4" s="101" t="str" cm="1">
        <f t="array" ref="M4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4" s="102" t="str" cm="1">
        <f t="array" ref="N4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4" s="101" t="str">
        <f t="shared" si="3"/>
        <v/>
      </c>
      <c r="P44" s="41" t="str">
        <f t="shared" ca="1" si="4"/>
        <v/>
      </c>
      <c r="Q44" s="41" t="str">
        <f t="shared" si="5"/>
        <v/>
      </c>
      <c r="R44" s="104" t="str">
        <f t="shared" ca="1" si="6"/>
        <v/>
      </c>
      <c r="S44" s="107" t="str">
        <f t="shared" si="7"/>
        <v/>
      </c>
      <c r="T44" s="41" t="str">
        <f t="shared" si="8"/>
        <v/>
      </c>
      <c r="U44" s="41" t="str">
        <f t="shared" ca="1" si="9"/>
        <v/>
      </c>
      <c r="V44" s="41" t="str">
        <f t="shared" si="10"/>
        <v/>
      </c>
      <c r="W44" s="108" t="str">
        <f t="shared" ca="1" si="11"/>
        <v/>
      </c>
      <c r="X44" s="110">
        <f t="shared" si="12"/>
        <v>-1</v>
      </c>
      <c r="Y44" s="41" t="str">
        <f t="shared" si="13"/>
        <v/>
      </c>
      <c r="Z44" s="115" t="str">
        <f t="shared" si="14"/>
        <v/>
      </c>
      <c r="AA44" s="115" t="str">
        <f t="shared" si="15"/>
        <v/>
      </c>
      <c r="AB44" s="111" t="str">
        <f t="shared" si="16"/>
        <v/>
      </c>
      <c r="AC44" s="115" t="str">
        <f t="shared" si="17"/>
        <v/>
      </c>
      <c r="AD44" s="115" t="str">
        <f t="shared" si="18"/>
        <v/>
      </c>
    </row>
    <row r="45" spans="3:44" ht="16" customHeight="1" x14ac:dyDescent="0.2">
      <c r="C45" s="93" cm="1">
        <f t="array" ref="C45" xml:space="preserve"> IF(C44=-1,-1,
IF(C44&lt;income_max_row, C44+1,
IF(C44=income_max_row, income_total_row,
IF(C44=income_total_row, "/1",
IF(C44="/1", expenses_header_row,
IF(C44&lt;expenses_max_row, C44+1,
IF(C44=expenses_max_row, expenses_total_row,
IF(C44=expenses_total_row, "/2",
IF(C44="/2", savings_header_row,
IF(C44&lt;savings_max_row, C44+1,
IF(C44=savings_max_row, savings_total_row, -1)))))))))))</f>
        <v>-1</v>
      </c>
      <c r="D45" s="94">
        <f t="shared" ref="D45:D69" si="19">IF(is_header,row_id,
IF(NOT(is_empty),D44,-1))</f>
        <v>-1</v>
      </c>
      <c r="E45" s="93" cm="1">
        <f t="array" ref="E45">1*OR(row_id=income_header_row, row_id=expenses_header_row, row_id=savings_header_row)</f>
        <v>0</v>
      </c>
      <c r="F45" s="78">
        <f t="shared" ref="F45:F69" si="20">1*NOT(OR(is_header, is_total, is_empty))</f>
        <v>0</v>
      </c>
      <c r="G45" s="78" cm="1">
        <f t="array" ref="G45">1*OR(row_id=income_total_row, row_id=expenses_total_row, row_id=savings_total_row)</f>
        <v>0</v>
      </c>
      <c r="H45" s="95">
        <f t="shared" ref="H45:H69" si="21">1*OR(row_id="/1", row_id="/2", row_id=-1)</f>
        <v>1</v>
      </c>
      <c r="I45" s="93" t="str" cm="1">
        <f t="array" ref="I45">IFERROR(INDEX('Budget Planning'!$C:$C, header_row_id),"")</f>
        <v/>
      </c>
      <c r="J45" s="78" t="str" cm="1">
        <f t="array" ref="J45">IFERROR(INDEX('Budget Planning'!$C:$C, row_id), "")</f>
        <v/>
      </c>
      <c r="K45" s="96" t="str" cm="1">
        <f t="array" ref="K45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5" s="96" t="str" cm="1">
        <f t="array" ref="L45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5" s="101" t="str" cm="1">
        <f t="array" ref="M4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5" s="102" t="str" cm="1">
        <f t="array" ref="N4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5" s="101" t="str">
        <f t="shared" ref="O45:O69" si="22">IF(is_cat, ADDRESS(sort_min_row, COLUMN(tracked)) &amp;":" &amp; ADDRESS(sort_max_row, COLUMN(tracked)), "")</f>
        <v/>
      </c>
      <c r="P45" s="41" t="str">
        <f t="shared" ref="P45:P69" ca="1" si="23">IF(is_cat, RANK(tracked, INDIRECT(tracked_range), 0), "")</f>
        <v/>
      </c>
      <c r="Q45" s="41" t="str">
        <f t="shared" ref="Q45:Q69" si="24">IF(is_cat, ADDRESS(sort_min_row, COLUMN(budget)) &amp;":" &amp; ADDRESS(sort_max_row, COLUMN(budget)), "")</f>
        <v/>
      </c>
      <c r="R45" s="104" t="str">
        <f t="shared" ref="R45:R69" ca="1" si="25">IF(is_cat, RANK(budget, INDIRECT(budget_range), 0), "")</f>
        <v/>
      </c>
      <c r="S45" s="107" t="str">
        <f t="shared" ref="S45:S69" si="26">IF(is_cat, _xlfn.NUMBERVALUE(tracked_rank &amp; budget_rank), "")</f>
        <v/>
      </c>
      <c r="T45" s="41" t="str">
        <f t="shared" ref="T45:T69" si="27">IF(is_cat, ADDRESS(sort_min_row, COLUMN(comb_rank)) &amp;":" &amp; ADDRESS(sort_max_row, COLUMN(comb_rank)), "")</f>
        <v/>
      </c>
      <c r="U45" s="41" t="str">
        <f t="shared" ref="U45:U69" ca="1" si="28">IF(is_cat,RANK(comb_rank,INDIRECT(comb_rank_range),1),"")</f>
        <v/>
      </c>
      <c r="V45" s="41" t="str">
        <f t="shared" ref="V45:V69" si="29">IF(is_cat, ADDRESS(sort_min_row, COLUMN(comb_rank_norm)) &amp;":" &amp; ADDRESS(ROW(), COLUMN(comb_rank_norm)), "")</f>
        <v/>
      </c>
      <c r="W45" s="108" t="str">
        <f t="shared" ref="W45:W69" ca="1" si="30">IF(is_cat, comb_rank_norm + COUNTIF(INDIRECT(comb_rank_norm_run_range), comb_rank_norm)-1, "")</f>
        <v/>
      </c>
      <c r="X45" s="110">
        <f t="shared" ref="X45:X69" si="31">IF(is_cat, header_row_id + comb_rank_unique, row_id)</f>
        <v>-1</v>
      </c>
      <c r="Y45" s="41" t="str">
        <f t="shared" ref="Y45:Y69" si="32">IF(is_empty, "", INDEX($J:$J, MATCH(row_id, $X:$X, 0)))</f>
        <v/>
      </c>
      <c r="Z45" s="115" t="str">
        <f t="shared" ref="Z45:Z69" si="33">IF(is_empty, "", IF(is_header, "Tracked", INDEX($K:$K, MATCH(row_id, $X:$X, 0))))</f>
        <v/>
      </c>
      <c r="AA45" s="115" t="str">
        <f t="shared" ref="AA45:AA69" si="34">IF(is_empty, "", IF(is_header, "Budget", INDEX($L:$L, MATCH(row_id, $X:$X, 0))))</f>
        <v/>
      </c>
      <c r="AB45" s="111" t="str">
        <f t="shared" ref="AB45:AB69" si="35">IF(is_empty, "", IF(is_header, "% Compl.", IFERROR(out_tracked / out_budget, "-")))</f>
        <v/>
      </c>
      <c r="AC45" s="115" t="str">
        <f t="shared" ref="AC45:AC69" si="36">IF(is_empty, "", IF(is_header, "Remaining", IF(out_budget - out_tracked &gt; 0, out_budget - out_tracked, 0)))</f>
        <v/>
      </c>
      <c r="AD45" s="115" t="str">
        <f t="shared" ref="AD45:AD69" si="37">IF(is_empty, "", IF(is_header, "Excess", IF(out_budget - out_tracked &lt; 0, out_tracked - out_budget, 0)))</f>
        <v/>
      </c>
    </row>
    <row r="46" spans="3:44" ht="16" customHeight="1" x14ac:dyDescent="0.2">
      <c r="C46" s="93" cm="1">
        <f t="array" ref="C46" xml:space="preserve"> IF(C45=-1,-1,
IF(C45&lt;income_max_row, C45+1,
IF(C45=income_max_row, income_total_row,
IF(C45=income_total_row, "/1",
IF(C45="/1", expenses_header_row,
IF(C45&lt;expenses_max_row, C45+1,
IF(C45=expenses_max_row, expenses_total_row,
IF(C45=expenses_total_row, "/2",
IF(C45="/2", savings_header_row,
IF(C45&lt;savings_max_row, C45+1,
IF(C45=savings_max_row, savings_total_row, -1)))))))))))</f>
        <v>-1</v>
      </c>
      <c r="D46" s="94">
        <f t="shared" si="19"/>
        <v>-1</v>
      </c>
      <c r="E46" s="93" cm="1">
        <f t="array" ref="E46">1*OR(row_id=income_header_row, row_id=expenses_header_row, row_id=savings_header_row)</f>
        <v>0</v>
      </c>
      <c r="F46" s="78">
        <f t="shared" si="20"/>
        <v>0</v>
      </c>
      <c r="G46" s="78" cm="1">
        <f t="array" ref="G46">1*OR(row_id=income_total_row, row_id=expenses_total_row, row_id=savings_total_row)</f>
        <v>0</v>
      </c>
      <c r="H46" s="95">
        <f t="shared" si="21"/>
        <v>1</v>
      </c>
      <c r="I46" s="93" t="str" cm="1">
        <f t="array" ref="I46">IFERROR(INDEX('Budget Planning'!$C:$C, header_row_id),"")</f>
        <v/>
      </c>
      <c r="J46" s="78" t="str" cm="1">
        <f t="array" ref="J46">IFERROR(INDEX('Budget Planning'!$C:$C, row_id), "")</f>
        <v/>
      </c>
      <c r="K46" s="96" t="str" cm="1">
        <f t="array" ref="K46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6" s="96" t="str" cm="1">
        <f t="array" ref="L46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6" s="101" t="str" cm="1">
        <f t="array" ref="M4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6" s="102" t="str" cm="1">
        <f t="array" ref="N4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6" s="101" t="str">
        <f t="shared" si="22"/>
        <v/>
      </c>
      <c r="P46" s="41" t="str">
        <f t="shared" ca="1" si="23"/>
        <v/>
      </c>
      <c r="Q46" s="41" t="str">
        <f t="shared" si="24"/>
        <v/>
      </c>
      <c r="R46" s="104" t="str">
        <f t="shared" ca="1" si="25"/>
        <v/>
      </c>
      <c r="S46" s="107" t="str">
        <f t="shared" si="26"/>
        <v/>
      </c>
      <c r="T46" s="41" t="str">
        <f t="shared" si="27"/>
        <v/>
      </c>
      <c r="U46" s="41" t="str">
        <f t="shared" ca="1" si="28"/>
        <v/>
      </c>
      <c r="V46" s="41" t="str">
        <f t="shared" si="29"/>
        <v/>
      </c>
      <c r="W46" s="108" t="str">
        <f t="shared" ca="1" si="30"/>
        <v/>
      </c>
      <c r="X46" s="110">
        <f t="shared" si="31"/>
        <v>-1</v>
      </c>
      <c r="Y46" s="41" t="str">
        <f t="shared" si="32"/>
        <v/>
      </c>
      <c r="Z46" s="115" t="str">
        <f t="shared" si="33"/>
        <v/>
      </c>
      <c r="AA46" s="115" t="str">
        <f t="shared" si="34"/>
        <v/>
      </c>
      <c r="AB46" s="111" t="str">
        <f t="shared" si="35"/>
        <v/>
      </c>
      <c r="AC46" s="115" t="str">
        <f t="shared" si="36"/>
        <v/>
      </c>
      <c r="AD46" s="115" t="str">
        <f t="shared" si="37"/>
        <v/>
      </c>
    </row>
    <row r="47" spans="3:44" ht="16" customHeight="1" x14ac:dyDescent="0.2">
      <c r="C47" s="93" cm="1">
        <f t="array" ref="C47" xml:space="preserve"> IF(C46=-1,-1,
IF(C46&lt;income_max_row, C46+1,
IF(C46=income_max_row, income_total_row,
IF(C46=income_total_row, "/1",
IF(C46="/1", expenses_header_row,
IF(C46&lt;expenses_max_row, C46+1,
IF(C46=expenses_max_row, expenses_total_row,
IF(C46=expenses_total_row, "/2",
IF(C46="/2", savings_header_row,
IF(C46&lt;savings_max_row, C46+1,
IF(C46=savings_max_row, savings_total_row, -1)))))))))))</f>
        <v>-1</v>
      </c>
      <c r="D47" s="94">
        <f t="shared" si="19"/>
        <v>-1</v>
      </c>
      <c r="E47" s="93" cm="1">
        <f t="array" ref="E47">1*OR(row_id=income_header_row, row_id=expenses_header_row, row_id=savings_header_row)</f>
        <v>0</v>
      </c>
      <c r="F47" s="78">
        <f t="shared" si="20"/>
        <v>0</v>
      </c>
      <c r="G47" s="78" cm="1">
        <f t="array" ref="G47">1*OR(row_id=income_total_row, row_id=expenses_total_row, row_id=savings_total_row)</f>
        <v>0</v>
      </c>
      <c r="H47" s="95">
        <f t="shared" si="21"/>
        <v>1</v>
      </c>
      <c r="I47" s="93" t="str" cm="1">
        <f t="array" ref="I47">IFERROR(INDEX('Budget Planning'!$C:$C, header_row_id),"")</f>
        <v/>
      </c>
      <c r="J47" s="78" t="str" cm="1">
        <f t="array" ref="J47">IFERROR(INDEX('Budget Planning'!$C:$C, row_id), "")</f>
        <v/>
      </c>
      <c r="K47" s="96" t="str" cm="1">
        <f t="array" ref="K47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7" s="96" t="str" cm="1">
        <f t="array" ref="L47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7" s="101" t="str" cm="1">
        <f t="array" ref="M4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7" s="102" t="str" cm="1">
        <f t="array" ref="N4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7" s="101" t="str">
        <f t="shared" si="22"/>
        <v/>
      </c>
      <c r="P47" s="41" t="str">
        <f t="shared" ca="1" si="23"/>
        <v/>
      </c>
      <c r="Q47" s="41" t="str">
        <f t="shared" si="24"/>
        <v/>
      </c>
      <c r="R47" s="104" t="str">
        <f t="shared" ca="1" si="25"/>
        <v/>
      </c>
      <c r="S47" s="107" t="str">
        <f t="shared" si="26"/>
        <v/>
      </c>
      <c r="T47" s="41" t="str">
        <f t="shared" si="27"/>
        <v/>
      </c>
      <c r="U47" s="41" t="str">
        <f t="shared" ca="1" si="28"/>
        <v/>
      </c>
      <c r="V47" s="41" t="str">
        <f t="shared" si="29"/>
        <v/>
      </c>
      <c r="W47" s="108" t="str">
        <f t="shared" ca="1" si="30"/>
        <v/>
      </c>
      <c r="X47" s="110">
        <f t="shared" si="31"/>
        <v>-1</v>
      </c>
      <c r="Y47" s="41" t="str">
        <f t="shared" si="32"/>
        <v/>
      </c>
      <c r="Z47" s="115" t="str">
        <f t="shared" si="33"/>
        <v/>
      </c>
      <c r="AA47" s="115" t="str">
        <f t="shared" si="34"/>
        <v/>
      </c>
      <c r="AB47" s="111" t="str">
        <f t="shared" si="35"/>
        <v/>
      </c>
      <c r="AC47" s="115" t="str">
        <f t="shared" si="36"/>
        <v/>
      </c>
      <c r="AD47" s="115" t="str">
        <f t="shared" si="37"/>
        <v/>
      </c>
    </row>
    <row r="48" spans="3:44" ht="16" customHeight="1" x14ac:dyDescent="0.2">
      <c r="C48" s="93" cm="1">
        <f t="array" ref="C48" xml:space="preserve"> IF(C47=-1,-1,
IF(C47&lt;income_max_row, C47+1,
IF(C47=income_max_row, income_total_row,
IF(C47=income_total_row, "/1",
IF(C47="/1", expenses_header_row,
IF(C47&lt;expenses_max_row, C47+1,
IF(C47=expenses_max_row, expenses_total_row,
IF(C47=expenses_total_row, "/2",
IF(C47="/2", savings_header_row,
IF(C47&lt;savings_max_row, C47+1,
IF(C47=savings_max_row, savings_total_row, -1)))))))))))</f>
        <v>-1</v>
      </c>
      <c r="D48" s="94">
        <f t="shared" si="19"/>
        <v>-1</v>
      </c>
      <c r="E48" s="93" cm="1">
        <f t="array" ref="E48">1*OR(row_id=income_header_row, row_id=expenses_header_row, row_id=savings_header_row)</f>
        <v>0</v>
      </c>
      <c r="F48" s="78">
        <f t="shared" si="20"/>
        <v>0</v>
      </c>
      <c r="G48" s="78" cm="1">
        <f t="array" ref="G48">1*OR(row_id=income_total_row, row_id=expenses_total_row, row_id=savings_total_row)</f>
        <v>0</v>
      </c>
      <c r="H48" s="95">
        <f t="shared" si="21"/>
        <v>1</v>
      </c>
      <c r="I48" s="93" t="str" cm="1">
        <f t="array" ref="I48">IFERROR(INDEX('Budget Planning'!$C:$C, header_row_id),"")</f>
        <v/>
      </c>
      <c r="J48" s="78" t="str" cm="1">
        <f t="array" ref="J48">IFERROR(INDEX('Budget Planning'!$C:$C, row_id), "")</f>
        <v/>
      </c>
      <c r="K48" s="96" t="str" cm="1">
        <f t="array" ref="K48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8" s="96" t="str" cm="1">
        <f t="array" ref="L48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8" s="101" t="str" cm="1">
        <f t="array" ref="M4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8" s="102" t="str" cm="1">
        <f t="array" ref="N4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8" s="101" t="str">
        <f t="shared" si="22"/>
        <v/>
      </c>
      <c r="P48" s="41" t="str">
        <f t="shared" ca="1" si="23"/>
        <v/>
      </c>
      <c r="Q48" s="41" t="str">
        <f t="shared" si="24"/>
        <v/>
      </c>
      <c r="R48" s="104" t="str">
        <f t="shared" ca="1" si="25"/>
        <v/>
      </c>
      <c r="S48" s="107" t="str">
        <f t="shared" si="26"/>
        <v/>
      </c>
      <c r="T48" s="41" t="str">
        <f t="shared" si="27"/>
        <v/>
      </c>
      <c r="U48" s="41" t="str">
        <f t="shared" ca="1" si="28"/>
        <v/>
      </c>
      <c r="V48" s="41" t="str">
        <f t="shared" si="29"/>
        <v/>
      </c>
      <c r="W48" s="108" t="str">
        <f t="shared" ca="1" si="30"/>
        <v/>
      </c>
      <c r="X48" s="110">
        <f t="shared" si="31"/>
        <v>-1</v>
      </c>
      <c r="Y48" s="41" t="str">
        <f t="shared" si="32"/>
        <v/>
      </c>
      <c r="Z48" s="115" t="str">
        <f t="shared" si="33"/>
        <v/>
      </c>
      <c r="AA48" s="115" t="str">
        <f t="shared" si="34"/>
        <v/>
      </c>
      <c r="AB48" s="111" t="str">
        <f t="shared" si="35"/>
        <v/>
      </c>
      <c r="AC48" s="115" t="str">
        <f t="shared" si="36"/>
        <v/>
      </c>
      <c r="AD48" s="115" t="str">
        <f t="shared" si="37"/>
        <v/>
      </c>
    </row>
    <row r="49" spans="3:30" ht="16" customHeight="1" x14ac:dyDescent="0.2">
      <c r="C49" s="93" cm="1">
        <f t="array" ref="C49" xml:space="preserve"> IF(C48=-1,-1,
IF(C48&lt;income_max_row, C48+1,
IF(C48=income_max_row, income_total_row,
IF(C48=income_total_row, "/1",
IF(C48="/1", expenses_header_row,
IF(C48&lt;expenses_max_row, C48+1,
IF(C48=expenses_max_row, expenses_total_row,
IF(C48=expenses_total_row, "/2",
IF(C48="/2", savings_header_row,
IF(C48&lt;savings_max_row, C48+1,
IF(C48=savings_max_row, savings_total_row, -1)))))))))))</f>
        <v>-1</v>
      </c>
      <c r="D49" s="94">
        <f t="shared" si="19"/>
        <v>-1</v>
      </c>
      <c r="E49" s="93" cm="1">
        <f t="array" ref="E49">1*OR(row_id=income_header_row, row_id=expenses_header_row, row_id=savings_header_row)</f>
        <v>0</v>
      </c>
      <c r="F49" s="78">
        <f t="shared" si="20"/>
        <v>0</v>
      </c>
      <c r="G49" s="78" cm="1">
        <f t="array" ref="G49">1*OR(row_id=income_total_row, row_id=expenses_total_row, row_id=savings_total_row)</f>
        <v>0</v>
      </c>
      <c r="H49" s="95">
        <f t="shared" si="21"/>
        <v>1</v>
      </c>
      <c r="I49" s="93" t="str" cm="1">
        <f t="array" ref="I49">IFERROR(INDEX('Budget Planning'!$C:$C, header_row_id),"")</f>
        <v/>
      </c>
      <c r="J49" s="78" t="str" cm="1">
        <f t="array" ref="J49">IFERROR(INDEX('Budget Planning'!$C:$C, row_id), "")</f>
        <v/>
      </c>
      <c r="K49" s="96" t="str" cm="1">
        <f t="array" ref="K49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49" s="96" t="str" cm="1">
        <f t="array" ref="L49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49" s="101" t="str" cm="1">
        <f t="array" ref="M4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49" s="102" t="str" cm="1">
        <f t="array" ref="N4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49" s="101" t="str">
        <f t="shared" si="22"/>
        <v/>
      </c>
      <c r="P49" s="41" t="str">
        <f t="shared" ca="1" si="23"/>
        <v/>
      </c>
      <c r="Q49" s="41" t="str">
        <f t="shared" si="24"/>
        <v/>
      </c>
      <c r="R49" s="104" t="str">
        <f t="shared" ca="1" si="25"/>
        <v/>
      </c>
      <c r="S49" s="107" t="str">
        <f t="shared" si="26"/>
        <v/>
      </c>
      <c r="T49" s="41" t="str">
        <f t="shared" si="27"/>
        <v/>
      </c>
      <c r="U49" s="41" t="str">
        <f t="shared" ca="1" si="28"/>
        <v/>
      </c>
      <c r="V49" s="41" t="str">
        <f t="shared" si="29"/>
        <v/>
      </c>
      <c r="W49" s="108" t="str">
        <f t="shared" ca="1" si="30"/>
        <v/>
      </c>
      <c r="X49" s="110">
        <f t="shared" si="31"/>
        <v>-1</v>
      </c>
      <c r="Y49" s="41" t="str">
        <f t="shared" si="32"/>
        <v/>
      </c>
      <c r="Z49" s="115" t="str">
        <f t="shared" si="33"/>
        <v/>
      </c>
      <c r="AA49" s="115" t="str">
        <f t="shared" si="34"/>
        <v/>
      </c>
      <c r="AB49" s="111" t="str">
        <f t="shared" si="35"/>
        <v/>
      </c>
      <c r="AC49" s="115" t="str">
        <f t="shared" si="36"/>
        <v/>
      </c>
      <c r="AD49" s="115" t="str">
        <f t="shared" si="37"/>
        <v/>
      </c>
    </row>
    <row r="50" spans="3:30" ht="16" customHeight="1" x14ac:dyDescent="0.2">
      <c r="C50" s="93" cm="1">
        <f t="array" ref="C50" xml:space="preserve"> IF(C49=-1,-1,
IF(C49&lt;income_max_row, C49+1,
IF(C49=income_max_row, income_total_row,
IF(C49=income_total_row, "/1",
IF(C49="/1", expenses_header_row,
IF(C49&lt;expenses_max_row, C49+1,
IF(C49=expenses_max_row, expenses_total_row,
IF(C49=expenses_total_row, "/2",
IF(C49="/2", savings_header_row,
IF(C49&lt;savings_max_row, C49+1,
IF(C49=savings_max_row, savings_total_row, -1)))))))))))</f>
        <v>-1</v>
      </c>
      <c r="D50" s="94">
        <f t="shared" si="19"/>
        <v>-1</v>
      </c>
      <c r="E50" s="93" cm="1">
        <f t="array" ref="E50">1*OR(row_id=income_header_row, row_id=expenses_header_row, row_id=savings_header_row)</f>
        <v>0</v>
      </c>
      <c r="F50" s="78">
        <f t="shared" si="20"/>
        <v>0</v>
      </c>
      <c r="G50" s="78" cm="1">
        <f t="array" ref="G50">1*OR(row_id=income_total_row, row_id=expenses_total_row, row_id=savings_total_row)</f>
        <v>0</v>
      </c>
      <c r="H50" s="97">
        <f t="shared" si="21"/>
        <v>1</v>
      </c>
      <c r="I50" s="93" t="str" cm="1">
        <f t="array" ref="I50">IFERROR(INDEX('Budget Planning'!$C:$C, header_row_id),"")</f>
        <v/>
      </c>
      <c r="J50" s="78" t="str" cm="1">
        <f t="array" ref="J50">IFERROR(INDEX('Budget Planning'!$C:$C, row_id), "")</f>
        <v/>
      </c>
      <c r="K50" s="96" t="str" cm="1">
        <f t="array" ref="K50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0" s="96" t="str" cm="1">
        <f t="array" ref="L50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0" s="101" t="str" cm="1">
        <f t="array" ref="M50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0" s="102" t="str" cm="1">
        <f t="array" ref="N50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0" s="101" t="str">
        <f t="shared" si="22"/>
        <v/>
      </c>
      <c r="P50" s="41" t="str">
        <f t="shared" ca="1" si="23"/>
        <v/>
      </c>
      <c r="Q50" s="41" t="str">
        <f t="shared" si="24"/>
        <v/>
      </c>
      <c r="R50" s="104" t="str">
        <f t="shared" ca="1" si="25"/>
        <v/>
      </c>
      <c r="S50" s="107" t="str">
        <f t="shared" si="26"/>
        <v/>
      </c>
      <c r="T50" s="41" t="str">
        <f t="shared" si="27"/>
        <v/>
      </c>
      <c r="U50" s="41" t="str">
        <f t="shared" ca="1" si="28"/>
        <v/>
      </c>
      <c r="V50" s="41" t="str">
        <f t="shared" si="29"/>
        <v/>
      </c>
      <c r="W50" s="108" t="str">
        <f t="shared" ca="1" si="30"/>
        <v/>
      </c>
      <c r="X50" s="110">
        <f t="shared" si="31"/>
        <v>-1</v>
      </c>
      <c r="Y50" s="41" t="str">
        <f t="shared" si="32"/>
        <v/>
      </c>
      <c r="Z50" s="115" t="str">
        <f t="shared" si="33"/>
        <v/>
      </c>
      <c r="AA50" s="115" t="str">
        <f t="shared" si="34"/>
        <v/>
      </c>
      <c r="AB50" s="111" t="str">
        <f t="shared" si="35"/>
        <v/>
      </c>
      <c r="AC50" s="115" t="str">
        <f t="shared" si="36"/>
        <v/>
      </c>
      <c r="AD50" s="115" t="str">
        <f t="shared" si="37"/>
        <v/>
      </c>
    </row>
    <row r="51" spans="3:30" ht="16" customHeight="1" x14ac:dyDescent="0.2">
      <c r="C51" s="93" cm="1">
        <f t="array" ref="C51" xml:space="preserve"> IF(C50=-1,-1,
IF(C50&lt;income_max_row, C50+1,
IF(C50=income_max_row, income_total_row,
IF(C50=income_total_row, "/1",
IF(C50="/1", expenses_header_row,
IF(C50&lt;expenses_max_row, C50+1,
IF(C50=expenses_max_row, expenses_total_row,
IF(C50=expenses_total_row, "/2",
IF(C50="/2", savings_header_row,
IF(C50&lt;savings_max_row, C50+1,
IF(C50=savings_max_row, savings_total_row, -1)))))))))))</f>
        <v>-1</v>
      </c>
      <c r="D51" s="94">
        <f t="shared" si="19"/>
        <v>-1</v>
      </c>
      <c r="E51" s="93" cm="1">
        <f t="array" ref="E51">1*OR(row_id=income_header_row, row_id=expenses_header_row, row_id=savings_header_row)</f>
        <v>0</v>
      </c>
      <c r="F51" s="78">
        <f t="shared" si="20"/>
        <v>0</v>
      </c>
      <c r="G51" s="78" cm="1">
        <f t="array" ref="G51">1*OR(row_id=income_total_row, row_id=expenses_total_row, row_id=savings_total_row)</f>
        <v>0</v>
      </c>
      <c r="H51" s="97">
        <f t="shared" si="21"/>
        <v>1</v>
      </c>
      <c r="I51" s="93" t="str" cm="1">
        <f t="array" ref="I51">IFERROR(INDEX('Budget Planning'!$C:$C, header_row_id),"")</f>
        <v/>
      </c>
      <c r="J51" s="78" t="str" cm="1">
        <f t="array" ref="J51">IFERROR(INDEX('Budget Planning'!$C:$C, row_id), "")</f>
        <v/>
      </c>
      <c r="K51" s="96" t="str" cm="1">
        <f t="array" ref="K5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1" s="96" t="str" cm="1">
        <f t="array" ref="L5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1" s="101" t="str" cm="1">
        <f t="array" ref="M51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1" s="102" t="str" cm="1">
        <f t="array" ref="N51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1" s="101" t="str">
        <f t="shared" si="22"/>
        <v/>
      </c>
      <c r="P51" s="41" t="str">
        <f t="shared" ca="1" si="23"/>
        <v/>
      </c>
      <c r="Q51" s="41" t="str">
        <f t="shared" si="24"/>
        <v/>
      </c>
      <c r="R51" s="104" t="str">
        <f t="shared" ca="1" si="25"/>
        <v/>
      </c>
      <c r="S51" s="107" t="str">
        <f t="shared" si="26"/>
        <v/>
      </c>
      <c r="T51" s="41" t="str">
        <f t="shared" si="27"/>
        <v/>
      </c>
      <c r="U51" s="41" t="str">
        <f t="shared" ca="1" si="28"/>
        <v/>
      </c>
      <c r="V51" s="41" t="str">
        <f t="shared" si="29"/>
        <v/>
      </c>
      <c r="W51" s="108" t="str">
        <f t="shared" ca="1" si="30"/>
        <v/>
      </c>
      <c r="X51" s="110">
        <f t="shared" si="31"/>
        <v>-1</v>
      </c>
      <c r="Y51" s="41" t="str">
        <f t="shared" si="32"/>
        <v/>
      </c>
      <c r="Z51" s="115" t="str">
        <f t="shared" si="33"/>
        <v/>
      </c>
      <c r="AA51" s="115" t="str">
        <f t="shared" si="34"/>
        <v/>
      </c>
      <c r="AB51" s="111" t="str">
        <f t="shared" si="35"/>
        <v/>
      </c>
      <c r="AC51" s="115" t="str">
        <f t="shared" si="36"/>
        <v/>
      </c>
      <c r="AD51" s="115" t="str">
        <f t="shared" si="37"/>
        <v/>
      </c>
    </row>
    <row r="52" spans="3:30" ht="16" customHeight="1" x14ac:dyDescent="0.2">
      <c r="C52" s="93" cm="1">
        <f t="array" ref="C52" xml:space="preserve"> IF(C51=-1,-1,
IF(C51&lt;income_max_row, C51+1,
IF(C51=income_max_row, income_total_row,
IF(C51=income_total_row, "/1",
IF(C51="/1", expenses_header_row,
IF(C51&lt;expenses_max_row, C51+1,
IF(C51=expenses_max_row, expenses_total_row,
IF(C51=expenses_total_row, "/2",
IF(C51="/2", savings_header_row,
IF(C51&lt;savings_max_row, C51+1,
IF(C51=savings_max_row, savings_total_row, -1)))))))))))</f>
        <v>-1</v>
      </c>
      <c r="D52" s="94">
        <f t="shared" si="19"/>
        <v>-1</v>
      </c>
      <c r="E52" s="93" cm="1">
        <f t="array" ref="E52">1*OR(row_id=income_header_row, row_id=expenses_header_row, row_id=savings_header_row)</f>
        <v>0</v>
      </c>
      <c r="F52" s="78">
        <f t="shared" si="20"/>
        <v>0</v>
      </c>
      <c r="G52" s="78" cm="1">
        <f t="array" ref="G52">1*OR(row_id=income_total_row, row_id=expenses_total_row, row_id=savings_total_row)</f>
        <v>0</v>
      </c>
      <c r="H52" s="97">
        <f t="shared" si="21"/>
        <v>1</v>
      </c>
      <c r="I52" s="93" t="str" cm="1">
        <f t="array" ref="I52">IFERROR(INDEX('Budget Planning'!$C:$C, header_row_id),"")</f>
        <v/>
      </c>
      <c r="J52" s="78" t="str" cm="1">
        <f t="array" ref="J52">IFERROR(INDEX('Budget Planning'!$C:$C, row_id), "")</f>
        <v/>
      </c>
      <c r="K52" s="96" t="str" cm="1">
        <f t="array" ref="K52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2" s="96" t="str" cm="1">
        <f t="array" ref="L52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2" s="101" t="str" cm="1">
        <f t="array" ref="M52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2" s="102" t="str" cm="1">
        <f t="array" ref="N52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2" s="101" t="str">
        <f t="shared" si="22"/>
        <v/>
      </c>
      <c r="P52" s="41" t="str">
        <f t="shared" ca="1" si="23"/>
        <v/>
      </c>
      <c r="Q52" s="41" t="str">
        <f t="shared" si="24"/>
        <v/>
      </c>
      <c r="R52" s="104" t="str">
        <f t="shared" ca="1" si="25"/>
        <v/>
      </c>
      <c r="S52" s="107" t="str">
        <f t="shared" si="26"/>
        <v/>
      </c>
      <c r="T52" s="41" t="str">
        <f t="shared" si="27"/>
        <v/>
      </c>
      <c r="U52" s="41" t="str">
        <f t="shared" ca="1" si="28"/>
        <v/>
      </c>
      <c r="V52" s="41" t="str">
        <f t="shared" si="29"/>
        <v/>
      </c>
      <c r="W52" s="108" t="str">
        <f t="shared" ca="1" si="30"/>
        <v/>
      </c>
      <c r="X52" s="110">
        <f t="shared" si="31"/>
        <v>-1</v>
      </c>
      <c r="Y52" s="41" t="str">
        <f t="shared" si="32"/>
        <v/>
      </c>
      <c r="Z52" s="115" t="str">
        <f t="shared" si="33"/>
        <v/>
      </c>
      <c r="AA52" s="115" t="str">
        <f t="shared" si="34"/>
        <v/>
      </c>
      <c r="AB52" s="111" t="str">
        <f t="shared" si="35"/>
        <v/>
      </c>
      <c r="AC52" s="115" t="str">
        <f t="shared" si="36"/>
        <v/>
      </c>
      <c r="AD52" s="115" t="str">
        <f t="shared" si="37"/>
        <v/>
      </c>
    </row>
    <row r="53" spans="3:30" ht="16" customHeight="1" x14ac:dyDescent="0.2">
      <c r="C53" s="93" cm="1">
        <f t="array" ref="C53" xml:space="preserve"> IF(C52=-1,-1,
IF(C52&lt;income_max_row, C52+1,
IF(C52=income_max_row, income_total_row,
IF(C52=income_total_row, "/1",
IF(C52="/1", expenses_header_row,
IF(C52&lt;expenses_max_row, C52+1,
IF(C52=expenses_max_row, expenses_total_row,
IF(C52=expenses_total_row, "/2",
IF(C52="/2", savings_header_row,
IF(C52&lt;savings_max_row, C52+1,
IF(C52=savings_max_row, savings_total_row, -1)))))))))))</f>
        <v>-1</v>
      </c>
      <c r="D53" s="94">
        <f t="shared" si="19"/>
        <v>-1</v>
      </c>
      <c r="E53" s="93" cm="1">
        <f t="array" ref="E53">1*OR(row_id=income_header_row, row_id=expenses_header_row, row_id=savings_header_row)</f>
        <v>0</v>
      </c>
      <c r="F53" s="78">
        <f t="shared" si="20"/>
        <v>0</v>
      </c>
      <c r="G53" s="78" cm="1">
        <f t="array" ref="G53">1*OR(row_id=income_total_row, row_id=expenses_total_row, row_id=savings_total_row)</f>
        <v>0</v>
      </c>
      <c r="H53" s="97">
        <f t="shared" si="21"/>
        <v>1</v>
      </c>
      <c r="I53" s="93" t="str" cm="1">
        <f t="array" ref="I53">IFERROR(INDEX('Budget Planning'!$C:$C, header_row_id),"")</f>
        <v/>
      </c>
      <c r="J53" s="78" t="str" cm="1">
        <f t="array" ref="J53">IFERROR(INDEX('Budget Planning'!$C:$C, row_id), "")</f>
        <v/>
      </c>
      <c r="K53" s="96" t="str" cm="1">
        <f t="array" ref="K53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3" s="96" t="str" cm="1">
        <f t="array" ref="L53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3" s="101" t="str" cm="1">
        <f t="array" ref="M5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3" s="102" t="str" cm="1">
        <f t="array" ref="N5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3" s="101" t="str">
        <f t="shared" si="22"/>
        <v/>
      </c>
      <c r="P53" s="41" t="str">
        <f t="shared" ca="1" si="23"/>
        <v/>
      </c>
      <c r="Q53" s="41" t="str">
        <f t="shared" si="24"/>
        <v/>
      </c>
      <c r="R53" s="104" t="str">
        <f t="shared" ca="1" si="25"/>
        <v/>
      </c>
      <c r="S53" s="107" t="str">
        <f t="shared" si="26"/>
        <v/>
      </c>
      <c r="T53" s="41" t="str">
        <f t="shared" si="27"/>
        <v/>
      </c>
      <c r="U53" s="41" t="str">
        <f t="shared" ca="1" si="28"/>
        <v/>
      </c>
      <c r="V53" s="41" t="str">
        <f t="shared" si="29"/>
        <v/>
      </c>
      <c r="W53" s="108" t="str">
        <f t="shared" ca="1" si="30"/>
        <v/>
      </c>
      <c r="X53" s="110">
        <f t="shared" si="31"/>
        <v>-1</v>
      </c>
      <c r="Y53" s="41" t="str">
        <f t="shared" si="32"/>
        <v/>
      </c>
      <c r="Z53" s="115" t="str">
        <f t="shared" si="33"/>
        <v/>
      </c>
      <c r="AA53" s="115" t="str">
        <f t="shared" si="34"/>
        <v/>
      </c>
      <c r="AB53" s="111" t="str">
        <f t="shared" si="35"/>
        <v/>
      </c>
      <c r="AC53" s="115" t="str">
        <f t="shared" si="36"/>
        <v/>
      </c>
      <c r="AD53" s="115" t="str">
        <f t="shared" si="37"/>
        <v/>
      </c>
    </row>
    <row r="54" spans="3:30" ht="16" customHeight="1" x14ac:dyDescent="0.2">
      <c r="C54" s="93" cm="1">
        <f t="array" ref="C54" xml:space="preserve"> IF(C53=-1,-1,
IF(C53&lt;income_max_row, C53+1,
IF(C53=income_max_row, income_total_row,
IF(C53=income_total_row, "/1",
IF(C53="/1", expenses_header_row,
IF(C53&lt;expenses_max_row, C53+1,
IF(C53=expenses_max_row, expenses_total_row,
IF(C53=expenses_total_row, "/2",
IF(C53="/2", savings_header_row,
IF(C53&lt;savings_max_row, C53+1,
IF(C53=savings_max_row, savings_total_row, -1)))))))))))</f>
        <v>-1</v>
      </c>
      <c r="D54" s="94">
        <f t="shared" si="19"/>
        <v>-1</v>
      </c>
      <c r="E54" s="93" cm="1">
        <f t="array" ref="E54">1*OR(row_id=income_header_row, row_id=expenses_header_row, row_id=savings_header_row)</f>
        <v>0</v>
      </c>
      <c r="F54" s="78">
        <f t="shared" si="20"/>
        <v>0</v>
      </c>
      <c r="G54" s="78" cm="1">
        <f t="array" ref="G54">1*OR(row_id=income_total_row, row_id=expenses_total_row, row_id=savings_total_row)</f>
        <v>0</v>
      </c>
      <c r="H54" s="97">
        <f t="shared" si="21"/>
        <v>1</v>
      </c>
      <c r="I54" s="93" t="str" cm="1">
        <f t="array" ref="I54">IFERROR(INDEX('Budget Planning'!$C:$C, header_row_id),"")</f>
        <v/>
      </c>
      <c r="J54" s="78" t="str" cm="1">
        <f t="array" ref="J54">IFERROR(INDEX('Budget Planning'!$C:$C, row_id), "")</f>
        <v/>
      </c>
      <c r="K54" s="96" t="str" cm="1">
        <f t="array" ref="K54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4" s="96" t="str" cm="1">
        <f t="array" ref="L54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4" s="101" t="str" cm="1">
        <f t="array" ref="M5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4" s="102" t="str" cm="1">
        <f t="array" ref="N5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4" s="101" t="str">
        <f t="shared" si="22"/>
        <v/>
      </c>
      <c r="P54" s="41" t="str">
        <f t="shared" ca="1" si="23"/>
        <v/>
      </c>
      <c r="Q54" s="41" t="str">
        <f t="shared" si="24"/>
        <v/>
      </c>
      <c r="R54" s="104" t="str">
        <f t="shared" ca="1" si="25"/>
        <v/>
      </c>
      <c r="S54" s="107" t="str">
        <f t="shared" si="26"/>
        <v/>
      </c>
      <c r="T54" s="41" t="str">
        <f t="shared" si="27"/>
        <v/>
      </c>
      <c r="U54" s="41" t="str">
        <f t="shared" ca="1" si="28"/>
        <v/>
      </c>
      <c r="V54" s="41" t="str">
        <f t="shared" si="29"/>
        <v/>
      </c>
      <c r="W54" s="108" t="str">
        <f t="shared" ca="1" si="30"/>
        <v/>
      </c>
      <c r="X54" s="110">
        <f t="shared" si="31"/>
        <v>-1</v>
      </c>
      <c r="Y54" s="41" t="str">
        <f t="shared" si="32"/>
        <v/>
      </c>
      <c r="Z54" s="115" t="str">
        <f t="shared" si="33"/>
        <v/>
      </c>
      <c r="AA54" s="115" t="str">
        <f t="shared" si="34"/>
        <v/>
      </c>
      <c r="AB54" s="111" t="str">
        <f t="shared" si="35"/>
        <v/>
      </c>
      <c r="AC54" s="115" t="str">
        <f t="shared" si="36"/>
        <v/>
      </c>
      <c r="AD54" s="115" t="str">
        <f t="shared" si="37"/>
        <v/>
      </c>
    </row>
    <row r="55" spans="3:30" ht="16" customHeight="1" x14ac:dyDescent="0.2">
      <c r="C55" s="93" cm="1">
        <f t="array" ref="C55" xml:space="preserve"> IF(C54=-1,-1,
IF(C54&lt;income_max_row, C54+1,
IF(C54=income_max_row, income_total_row,
IF(C54=income_total_row, "/1",
IF(C54="/1", expenses_header_row,
IF(C54&lt;expenses_max_row, C54+1,
IF(C54=expenses_max_row, expenses_total_row,
IF(C54=expenses_total_row, "/2",
IF(C54="/2", savings_header_row,
IF(C54&lt;savings_max_row, C54+1,
IF(C54=savings_max_row, savings_total_row, -1)))))))))))</f>
        <v>-1</v>
      </c>
      <c r="D55" s="94">
        <f t="shared" si="19"/>
        <v>-1</v>
      </c>
      <c r="E55" s="93" cm="1">
        <f t="array" ref="E55">1*OR(row_id=income_header_row, row_id=expenses_header_row, row_id=savings_header_row)</f>
        <v>0</v>
      </c>
      <c r="F55" s="78">
        <f t="shared" si="20"/>
        <v>0</v>
      </c>
      <c r="G55" s="78" cm="1">
        <f t="array" ref="G55">1*OR(row_id=income_total_row, row_id=expenses_total_row, row_id=savings_total_row)</f>
        <v>0</v>
      </c>
      <c r="H55" s="97">
        <f t="shared" si="21"/>
        <v>1</v>
      </c>
      <c r="I55" s="93" t="str" cm="1">
        <f t="array" ref="I55">IFERROR(INDEX('Budget Planning'!$C:$C, header_row_id),"")</f>
        <v/>
      </c>
      <c r="J55" s="78" t="str" cm="1">
        <f t="array" ref="J55">IFERROR(INDEX('Budget Planning'!$C:$C, row_id), "")</f>
        <v/>
      </c>
      <c r="K55" s="96" t="str" cm="1">
        <f t="array" ref="K55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5" s="96" t="str" cm="1">
        <f t="array" ref="L55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5" s="101" t="str" cm="1">
        <f t="array" ref="M5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5" s="102" t="str" cm="1">
        <f t="array" ref="N5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5" s="101" t="str">
        <f t="shared" si="22"/>
        <v/>
      </c>
      <c r="P55" s="41" t="str">
        <f t="shared" ca="1" si="23"/>
        <v/>
      </c>
      <c r="Q55" s="41" t="str">
        <f t="shared" si="24"/>
        <v/>
      </c>
      <c r="R55" s="104" t="str">
        <f t="shared" ca="1" si="25"/>
        <v/>
      </c>
      <c r="S55" s="107" t="str">
        <f t="shared" si="26"/>
        <v/>
      </c>
      <c r="T55" s="41" t="str">
        <f t="shared" si="27"/>
        <v/>
      </c>
      <c r="U55" s="41" t="str">
        <f t="shared" ca="1" si="28"/>
        <v/>
      </c>
      <c r="V55" s="41" t="str">
        <f t="shared" si="29"/>
        <v/>
      </c>
      <c r="W55" s="108" t="str">
        <f t="shared" ca="1" si="30"/>
        <v/>
      </c>
      <c r="X55" s="110">
        <f t="shared" si="31"/>
        <v>-1</v>
      </c>
      <c r="Y55" s="41" t="str">
        <f t="shared" si="32"/>
        <v/>
      </c>
      <c r="Z55" s="115" t="str">
        <f t="shared" si="33"/>
        <v/>
      </c>
      <c r="AA55" s="115" t="str">
        <f t="shared" si="34"/>
        <v/>
      </c>
      <c r="AB55" s="111" t="str">
        <f t="shared" si="35"/>
        <v/>
      </c>
      <c r="AC55" s="115" t="str">
        <f t="shared" si="36"/>
        <v/>
      </c>
      <c r="AD55" s="115" t="str">
        <f t="shared" si="37"/>
        <v/>
      </c>
    </row>
    <row r="56" spans="3:30" ht="16" customHeight="1" x14ac:dyDescent="0.2">
      <c r="C56" s="93" cm="1">
        <f t="array" ref="C56" xml:space="preserve"> IF(C55=-1,-1,
IF(C55&lt;income_max_row, C55+1,
IF(C55=income_max_row, income_total_row,
IF(C55=income_total_row, "/1",
IF(C55="/1", expenses_header_row,
IF(C55&lt;expenses_max_row, C55+1,
IF(C55=expenses_max_row, expenses_total_row,
IF(C55=expenses_total_row, "/2",
IF(C55="/2", savings_header_row,
IF(C55&lt;savings_max_row, C55+1,
IF(C55=savings_max_row, savings_total_row, -1)))))))))))</f>
        <v>-1</v>
      </c>
      <c r="D56" s="94">
        <f t="shared" si="19"/>
        <v>-1</v>
      </c>
      <c r="E56" s="93" cm="1">
        <f t="array" ref="E56">1*OR(row_id=income_header_row, row_id=expenses_header_row, row_id=savings_header_row)</f>
        <v>0</v>
      </c>
      <c r="F56" s="78">
        <f t="shared" si="20"/>
        <v>0</v>
      </c>
      <c r="G56" s="78" cm="1">
        <f t="array" ref="G56">1*OR(row_id=income_total_row, row_id=expenses_total_row, row_id=savings_total_row)</f>
        <v>0</v>
      </c>
      <c r="H56" s="97">
        <f t="shared" si="21"/>
        <v>1</v>
      </c>
      <c r="I56" s="93" t="str" cm="1">
        <f t="array" ref="I56">IFERROR(INDEX('Budget Planning'!$C:$C, header_row_id),"")</f>
        <v/>
      </c>
      <c r="J56" s="78" t="str" cm="1">
        <f t="array" ref="J56">IFERROR(INDEX('Budget Planning'!$C:$C, row_id), "")</f>
        <v/>
      </c>
      <c r="K56" s="96" t="str" cm="1">
        <f t="array" ref="K56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6" s="96" t="str" cm="1">
        <f t="array" ref="L56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6" s="101" t="str" cm="1">
        <f t="array" ref="M5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6" s="102" t="str" cm="1">
        <f t="array" ref="N5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6" s="101" t="str">
        <f t="shared" si="22"/>
        <v/>
      </c>
      <c r="P56" s="41" t="str">
        <f t="shared" ca="1" si="23"/>
        <v/>
      </c>
      <c r="Q56" s="41" t="str">
        <f t="shared" si="24"/>
        <v/>
      </c>
      <c r="R56" s="104" t="str">
        <f t="shared" ca="1" si="25"/>
        <v/>
      </c>
      <c r="S56" s="107" t="str">
        <f t="shared" si="26"/>
        <v/>
      </c>
      <c r="T56" s="41" t="str">
        <f t="shared" si="27"/>
        <v/>
      </c>
      <c r="U56" s="41" t="str">
        <f t="shared" ca="1" si="28"/>
        <v/>
      </c>
      <c r="V56" s="41" t="str">
        <f t="shared" si="29"/>
        <v/>
      </c>
      <c r="W56" s="108" t="str">
        <f t="shared" ca="1" si="30"/>
        <v/>
      </c>
      <c r="X56" s="110">
        <f t="shared" si="31"/>
        <v>-1</v>
      </c>
      <c r="Y56" s="41" t="str">
        <f t="shared" si="32"/>
        <v/>
      </c>
      <c r="Z56" s="115" t="str">
        <f t="shared" si="33"/>
        <v/>
      </c>
      <c r="AA56" s="115" t="str">
        <f t="shared" si="34"/>
        <v/>
      </c>
      <c r="AB56" s="111" t="str">
        <f t="shared" si="35"/>
        <v/>
      </c>
      <c r="AC56" s="115" t="str">
        <f t="shared" si="36"/>
        <v/>
      </c>
      <c r="AD56" s="115" t="str">
        <f t="shared" si="37"/>
        <v/>
      </c>
    </row>
    <row r="57" spans="3:30" ht="16" customHeight="1" x14ac:dyDescent="0.2">
      <c r="C57" s="93" cm="1">
        <f t="array" ref="C57" xml:space="preserve"> IF(C56=-1,-1,
IF(C56&lt;income_max_row, C56+1,
IF(C56=income_max_row, income_total_row,
IF(C56=income_total_row, "/1",
IF(C56="/1", expenses_header_row,
IF(C56&lt;expenses_max_row, C56+1,
IF(C56=expenses_max_row, expenses_total_row,
IF(C56=expenses_total_row, "/2",
IF(C56="/2", savings_header_row,
IF(C56&lt;savings_max_row, C56+1,
IF(C56=savings_max_row, savings_total_row, -1)))))))))))</f>
        <v>-1</v>
      </c>
      <c r="D57" s="94">
        <f t="shared" si="19"/>
        <v>-1</v>
      </c>
      <c r="E57" s="93" cm="1">
        <f t="array" ref="E57">1*OR(row_id=income_header_row, row_id=expenses_header_row, row_id=savings_header_row)</f>
        <v>0</v>
      </c>
      <c r="F57" s="78">
        <f t="shared" si="20"/>
        <v>0</v>
      </c>
      <c r="G57" s="78" cm="1">
        <f t="array" ref="G57">1*OR(row_id=income_total_row, row_id=expenses_total_row, row_id=savings_total_row)</f>
        <v>0</v>
      </c>
      <c r="H57" s="97">
        <f t="shared" si="21"/>
        <v>1</v>
      </c>
      <c r="I57" s="93" t="str" cm="1">
        <f t="array" ref="I57">IFERROR(INDEX('Budget Planning'!$C:$C, header_row_id),"")</f>
        <v/>
      </c>
      <c r="J57" s="78" t="str" cm="1">
        <f t="array" ref="J57">IFERROR(INDEX('Budget Planning'!$C:$C, row_id), "")</f>
        <v/>
      </c>
      <c r="K57" s="96" t="str" cm="1">
        <f t="array" ref="K57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7" s="96" t="str" cm="1">
        <f t="array" ref="L57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7" s="101" t="str" cm="1">
        <f t="array" ref="M5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7" s="102" t="str" cm="1">
        <f t="array" ref="N5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7" s="101" t="str">
        <f t="shared" si="22"/>
        <v/>
      </c>
      <c r="P57" s="41" t="str">
        <f t="shared" ca="1" si="23"/>
        <v/>
      </c>
      <c r="Q57" s="41" t="str">
        <f t="shared" si="24"/>
        <v/>
      </c>
      <c r="R57" s="104" t="str">
        <f t="shared" ca="1" si="25"/>
        <v/>
      </c>
      <c r="S57" s="107" t="str">
        <f t="shared" si="26"/>
        <v/>
      </c>
      <c r="T57" s="41" t="str">
        <f t="shared" si="27"/>
        <v/>
      </c>
      <c r="U57" s="41" t="str">
        <f t="shared" ca="1" si="28"/>
        <v/>
      </c>
      <c r="V57" s="41" t="str">
        <f t="shared" si="29"/>
        <v/>
      </c>
      <c r="W57" s="108" t="str">
        <f t="shared" ca="1" si="30"/>
        <v/>
      </c>
      <c r="X57" s="110">
        <f t="shared" si="31"/>
        <v>-1</v>
      </c>
      <c r="Y57" s="41" t="str">
        <f t="shared" si="32"/>
        <v/>
      </c>
      <c r="Z57" s="115" t="str">
        <f t="shared" si="33"/>
        <v/>
      </c>
      <c r="AA57" s="115" t="str">
        <f t="shared" si="34"/>
        <v/>
      </c>
      <c r="AB57" s="111" t="str">
        <f t="shared" si="35"/>
        <v/>
      </c>
      <c r="AC57" s="115" t="str">
        <f t="shared" si="36"/>
        <v/>
      </c>
      <c r="AD57" s="115" t="str">
        <f t="shared" si="37"/>
        <v/>
      </c>
    </row>
    <row r="58" spans="3:30" ht="16" customHeight="1" x14ac:dyDescent="0.2">
      <c r="C58" s="93" cm="1">
        <f t="array" ref="C58" xml:space="preserve"> IF(C57=-1,-1,
IF(C57&lt;income_max_row, C57+1,
IF(C57=income_max_row, income_total_row,
IF(C57=income_total_row, "/1",
IF(C57="/1", expenses_header_row,
IF(C57&lt;expenses_max_row, C57+1,
IF(C57=expenses_max_row, expenses_total_row,
IF(C57=expenses_total_row, "/2",
IF(C57="/2", savings_header_row,
IF(C57&lt;savings_max_row, C57+1,
IF(C57=savings_max_row, savings_total_row, -1)))))))))))</f>
        <v>-1</v>
      </c>
      <c r="D58" s="94">
        <f t="shared" si="19"/>
        <v>-1</v>
      </c>
      <c r="E58" s="93" cm="1">
        <f t="array" ref="E58">1*OR(row_id=income_header_row, row_id=expenses_header_row, row_id=savings_header_row)</f>
        <v>0</v>
      </c>
      <c r="F58" s="78">
        <f t="shared" si="20"/>
        <v>0</v>
      </c>
      <c r="G58" s="78" cm="1">
        <f t="array" ref="G58">1*OR(row_id=income_total_row, row_id=expenses_total_row, row_id=savings_total_row)</f>
        <v>0</v>
      </c>
      <c r="H58" s="97">
        <f t="shared" si="21"/>
        <v>1</v>
      </c>
      <c r="I58" s="93" t="str" cm="1">
        <f t="array" ref="I58">IFERROR(INDEX('Budget Planning'!$C:$C, header_row_id),"")</f>
        <v/>
      </c>
      <c r="J58" s="78" t="str" cm="1">
        <f t="array" ref="J58">IFERROR(INDEX('Budget Planning'!$C:$C, row_id), "")</f>
        <v/>
      </c>
      <c r="K58" s="96" t="str" cm="1">
        <f t="array" ref="K58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8" s="96" t="str" cm="1">
        <f t="array" ref="L58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8" s="101" t="str" cm="1">
        <f t="array" ref="M5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8" s="102" t="str" cm="1">
        <f t="array" ref="N5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8" s="101" t="str">
        <f t="shared" si="22"/>
        <v/>
      </c>
      <c r="P58" s="41" t="str">
        <f t="shared" ca="1" si="23"/>
        <v/>
      </c>
      <c r="Q58" s="41" t="str">
        <f t="shared" si="24"/>
        <v/>
      </c>
      <c r="R58" s="104" t="str">
        <f t="shared" ca="1" si="25"/>
        <v/>
      </c>
      <c r="S58" s="107" t="str">
        <f t="shared" si="26"/>
        <v/>
      </c>
      <c r="T58" s="41" t="str">
        <f t="shared" si="27"/>
        <v/>
      </c>
      <c r="U58" s="41" t="str">
        <f t="shared" ca="1" si="28"/>
        <v/>
      </c>
      <c r="V58" s="41" t="str">
        <f t="shared" si="29"/>
        <v/>
      </c>
      <c r="W58" s="108" t="str">
        <f t="shared" ca="1" si="30"/>
        <v/>
      </c>
      <c r="X58" s="110">
        <f t="shared" si="31"/>
        <v>-1</v>
      </c>
      <c r="Y58" s="41" t="str">
        <f t="shared" si="32"/>
        <v/>
      </c>
      <c r="Z58" s="115" t="str">
        <f t="shared" si="33"/>
        <v/>
      </c>
      <c r="AA58" s="115" t="str">
        <f t="shared" si="34"/>
        <v/>
      </c>
      <c r="AB58" s="111" t="str">
        <f t="shared" si="35"/>
        <v/>
      </c>
      <c r="AC58" s="115" t="str">
        <f t="shared" si="36"/>
        <v/>
      </c>
      <c r="AD58" s="115" t="str">
        <f t="shared" si="37"/>
        <v/>
      </c>
    </row>
    <row r="59" spans="3:30" ht="16" customHeight="1" x14ac:dyDescent="0.2">
      <c r="C59" s="93" cm="1">
        <f t="array" ref="C59" xml:space="preserve"> IF(C58=-1,-1,
IF(C58&lt;income_max_row, C58+1,
IF(C58=income_max_row, income_total_row,
IF(C58=income_total_row, "/1",
IF(C58="/1", expenses_header_row,
IF(C58&lt;expenses_max_row, C58+1,
IF(C58=expenses_max_row, expenses_total_row,
IF(C58=expenses_total_row, "/2",
IF(C58="/2", savings_header_row,
IF(C58&lt;savings_max_row, C58+1,
IF(C58=savings_max_row, savings_total_row, -1)))))))))))</f>
        <v>-1</v>
      </c>
      <c r="D59" s="94">
        <f t="shared" si="19"/>
        <v>-1</v>
      </c>
      <c r="E59" s="93" cm="1">
        <f t="array" ref="E59">1*OR(row_id=income_header_row, row_id=expenses_header_row, row_id=savings_header_row)</f>
        <v>0</v>
      </c>
      <c r="F59" s="78">
        <f t="shared" si="20"/>
        <v>0</v>
      </c>
      <c r="G59" s="78" cm="1">
        <f t="array" ref="G59">1*OR(row_id=income_total_row, row_id=expenses_total_row, row_id=savings_total_row)</f>
        <v>0</v>
      </c>
      <c r="H59" s="97">
        <f t="shared" si="21"/>
        <v>1</v>
      </c>
      <c r="I59" s="93" t="str" cm="1">
        <f t="array" ref="I59">IFERROR(INDEX('Budget Planning'!$C:$C, header_row_id),"")</f>
        <v/>
      </c>
      <c r="J59" s="78" t="str" cm="1">
        <f t="array" ref="J59">IFERROR(INDEX('Budget Planning'!$C:$C, row_id), "")</f>
        <v/>
      </c>
      <c r="K59" s="96" t="str" cm="1">
        <f t="array" ref="K59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59" s="96" t="str" cm="1">
        <f t="array" ref="L59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59" s="101" t="str" cm="1">
        <f t="array" ref="M5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59" s="102" t="str" cm="1">
        <f t="array" ref="N5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59" s="101" t="str">
        <f t="shared" si="22"/>
        <v/>
      </c>
      <c r="P59" s="41" t="str">
        <f t="shared" ca="1" si="23"/>
        <v/>
      </c>
      <c r="Q59" s="41" t="str">
        <f t="shared" si="24"/>
        <v/>
      </c>
      <c r="R59" s="104" t="str">
        <f t="shared" ca="1" si="25"/>
        <v/>
      </c>
      <c r="S59" s="107" t="str">
        <f t="shared" si="26"/>
        <v/>
      </c>
      <c r="T59" s="41" t="str">
        <f t="shared" si="27"/>
        <v/>
      </c>
      <c r="U59" s="41" t="str">
        <f t="shared" ca="1" si="28"/>
        <v/>
      </c>
      <c r="V59" s="41" t="str">
        <f t="shared" si="29"/>
        <v/>
      </c>
      <c r="W59" s="108" t="str">
        <f t="shared" ca="1" si="30"/>
        <v/>
      </c>
      <c r="X59" s="110">
        <f t="shared" si="31"/>
        <v>-1</v>
      </c>
      <c r="Y59" s="41" t="str">
        <f t="shared" si="32"/>
        <v/>
      </c>
      <c r="Z59" s="115" t="str">
        <f t="shared" si="33"/>
        <v/>
      </c>
      <c r="AA59" s="115" t="str">
        <f t="shared" si="34"/>
        <v/>
      </c>
      <c r="AB59" s="111" t="str">
        <f t="shared" si="35"/>
        <v/>
      </c>
      <c r="AC59" s="115" t="str">
        <f t="shared" si="36"/>
        <v/>
      </c>
      <c r="AD59" s="115" t="str">
        <f t="shared" si="37"/>
        <v/>
      </c>
    </row>
    <row r="60" spans="3:30" ht="16" customHeight="1" x14ac:dyDescent="0.2">
      <c r="C60" s="93" cm="1">
        <f t="array" ref="C60" xml:space="preserve"> IF(C59=-1,-1,
IF(C59&lt;income_max_row, C59+1,
IF(C59=income_max_row, income_total_row,
IF(C59=income_total_row, "/1",
IF(C59="/1", expenses_header_row,
IF(C59&lt;expenses_max_row, C59+1,
IF(C59=expenses_max_row, expenses_total_row,
IF(C59=expenses_total_row, "/2",
IF(C59="/2", savings_header_row,
IF(C59&lt;savings_max_row, C59+1,
IF(C59=savings_max_row, savings_total_row, -1)))))))))))</f>
        <v>-1</v>
      </c>
      <c r="D60" s="94">
        <f t="shared" si="19"/>
        <v>-1</v>
      </c>
      <c r="E60" s="93" cm="1">
        <f t="array" ref="E60">1*OR(row_id=income_header_row, row_id=expenses_header_row, row_id=savings_header_row)</f>
        <v>0</v>
      </c>
      <c r="F60" s="78">
        <f t="shared" si="20"/>
        <v>0</v>
      </c>
      <c r="G60" s="78" cm="1">
        <f t="array" ref="G60">1*OR(row_id=income_total_row, row_id=expenses_total_row, row_id=savings_total_row)</f>
        <v>0</v>
      </c>
      <c r="H60" s="97">
        <f t="shared" si="21"/>
        <v>1</v>
      </c>
      <c r="I60" s="93" t="str" cm="1">
        <f t="array" ref="I60">IFERROR(INDEX('Budget Planning'!$C:$C, header_row_id),"")</f>
        <v/>
      </c>
      <c r="J60" s="78" t="str" cm="1">
        <f t="array" ref="J60">IFERROR(INDEX('Budget Planning'!$C:$C, row_id), "")</f>
        <v/>
      </c>
      <c r="K60" s="96" t="str" cm="1">
        <f t="array" ref="K60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0" s="96" t="str" cm="1">
        <f t="array" ref="L60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0" s="101" t="str" cm="1">
        <f t="array" ref="M60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0" s="102" t="str" cm="1">
        <f t="array" ref="N60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0" s="101" t="str">
        <f t="shared" si="22"/>
        <v/>
      </c>
      <c r="P60" s="41" t="str">
        <f t="shared" ca="1" si="23"/>
        <v/>
      </c>
      <c r="Q60" s="41" t="str">
        <f t="shared" si="24"/>
        <v/>
      </c>
      <c r="R60" s="104" t="str">
        <f t="shared" ca="1" si="25"/>
        <v/>
      </c>
      <c r="S60" s="107" t="str">
        <f t="shared" si="26"/>
        <v/>
      </c>
      <c r="T60" s="41" t="str">
        <f t="shared" si="27"/>
        <v/>
      </c>
      <c r="U60" s="41" t="str">
        <f t="shared" ca="1" si="28"/>
        <v/>
      </c>
      <c r="V60" s="41" t="str">
        <f t="shared" si="29"/>
        <v/>
      </c>
      <c r="W60" s="108" t="str">
        <f t="shared" ca="1" si="30"/>
        <v/>
      </c>
      <c r="X60" s="110">
        <f t="shared" si="31"/>
        <v>-1</v>
      </c>
      <c r="Y60" s="41" t="str">
        <f t="shared" si="32"/>
        <v/>
      </c>
      <c r="Z60" s="115" t="str">
        <f t="shared" si="33"/>
        <v/>
      </c>
      <c r="AA60" s="115" t="str">
        <f t="shared" si="34"/>
        <v/>
      </c>
      <c r="AB60" s="111" t="str">
        <f t="shared" si="35"/>
        <v/>
      </c>
      <c r="AC60" s="115" t="str">
        <f t="shared" si="36"/>
        <v/>
      </c>
      <c r="AD60" s="115" t="str">
        <f t="shared" si="37"/>
        <v/>
      </c>
    </row>
    <row r="61" spans="3:30" ht="16" customHeight="1" x14ac:dyDescent="0.2">
      <c r="C61" s="93" cm="1">
        <f t="array" ref="C61" xml:space="preserve"> IF(C60=-1,-1,
IF(C60&lt;income_max_row, C60+1,
IF(C60=income_max_row, income_total_row,
IF(C60=income_total_row, "/1",
IF(C60="/1", expenses_header_row,
IF(C60&lt;expenses_max_row, C60+1,
IF(C60=expenses_max_row, expenses_total_row,
IF(C60=expenses_total_row, "/2",
IF(C60="/2", savings_header_row,
IF(C60&lt;savings_max_row, C60+1,
IF(C60=savings_max_row, savings_total_row, -1)))))))))))</f>
        <v>-1</v>
      </c>
      <c r="D61" s="94">
        <f t="shared" si="19"/>
        <v>-1</v>
      </c>
      <c r="E61" s="93" cm="1">
        <f t="array" ref="E61">1*OR(row_id=income_header_row, row_id=expenses_header_row, row_id=savings_header_row)</f>
        <v>0</v>
      </c>
      <c r="F61" s="78">
        <f t="shared" si="20"/>
        <v>0</v>
      </c>
      <c r="G61" s="78" cm="1">
        <f t="array" ref="G61">1*OR(row_id=income_total_row, row_id=expenses_total_row, row_id=savings_total_row)</f>
        <v>0</v>
      </c>
      <c r="H61" s="97">
        <f t="shared" si="21"/>
        <v>1</v>
      </c>
      <c r="I61" s="93" t="str" cm="1">
        <f t="array" ref="I61">IFERROR(INDEX('Budget Planning'!$C:$C, header_row_id),"")</f>
        <v/>
      </c>
      <c r="J61" s="78" t="str" cm="1">
        <f t="array" ref="J61">IFERROR(INDEX('Budget Planning'!$C:$C, row_id), "")</f>
        <v/>
      </c>
      <c r="K61" s="96" t="str" cm="1">
        <f t="array" ref="K61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1" s="96" t="str" cm="1">
        <f t="array" ref="L61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1" s="101" t="str" cm="1">
        <f t="array" ref="M61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1" s="102" t="str" cm="1">
        <f t="array" ref="N61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1" s="101" t="str">
        <f t="shared" si="22"/>
        <v/>
      </c>
      <c r="P61" s="41" t="str">
        <f t="shared" ca="1" si="23"/>
        <v/>
      </c>
      <c r="Q61" s="41" t="str">
        <f t="shared" si="24"/>
        <v/>
      </c>
      <c r="R61" s="104" t="str">
        <f t="shared" ca="1" si="25"/>
        <v/>
      </c>
      <c r="S61" s="107" t="str">
        <f t="shared" si="26"/>
        <v/>
      </c>
      <c r="T61" s="41" t="str">
        <f t="shared" si="27"/>
        <v/>
      </c>
      <c r="U61" s="41" t="str">
        <f t="shared" ca="1" si="28"/>
        <v/>
      </c>
      <c r="V61" s="41" t="str">
        <f t="shared" si="29"/>
        <v/>
      </c>
      <c r="W61" s="108" t="str">
        <f t="shared" ca="1" si="30"/>
        <v/>
      </c>
      <c r="X61" s="110">
        <f t="shared" si="31"/>
        <v>-1</v>
      </c>
      <c r="Y61" s="41" t="str">
        <f t="shared" si="32"/>
        <v/>
      </c>
      <c r="Z61" s="115" t="str">
        <f t="shared" si="33"/>
        <v/>
      </c>
      <c r="AA61" s="115" t="str">
        <f t="shared" si="34"/>
        <v/>
      </c>
      <c r="AB61" s="111" t="str">
        <f t="shared" si="35"/>
        <v/>
      </c>
      <c r="AC61" s="115" t="str">
        <f t="shared" si="36"/>
        <v/>
      </c>
      <c r="AD61" s="115" t="str">
        <f t="shared" si="37"/>
        <v/>
      </c>
    </row>
    <row r="62" spans="3:30" ht="16" customHeight="1" x14ac:dyDescent="0.2">
      <c r="C62" s="93" cm="1">
        <f t="array" ref="C62" xml:space="preserve"> IF(C61=-1,-1,
IF(C61&lt;income_max_row, C61+1,
IF(C61=income_max_row, income_total_row,
IF(C61=income_total_row, "/1",
IF(C61="/1", expenses_header_row,
IF(C61&lt;expenses_max_row, C61+1,
IF(C61=expenses_max_row, expenses_total_row,
IF(C61=expenses_total_row, "/2",
IF(C61="/2", savings_header_row,
IF(C61&lt;savings_max_row, C61+1,
IF(C61=savings_max_row, savings_total_row, -1)))))))))))</f>
        <v>-1</v>
      </c>
      <c r="D62" s="94">
        <f t="shared" si="19"/>
        <v>-1</v>
      </c>
      <c r="E62" s="93" cm="1">
        <f t="array" ref="E62">1*OR(row_id=income_header_row, row_id=expenses_header_row, row_id=savings_header_row)</f>
        <v>0</v>
      </c>
      <c r="F62" s="78">
        <f t="shared" si="20"/>
        <v>0</v>
      </c>
      <c r="G62" s="78" cm="1">
        <f t="array" ref="G62">1*OR(row_id=income_total_row, row_id=expenses_total_row, row_id=savings_total_row)</f>
        <v>0</v>
      </c>
      <c r="H62" s="97">
        <f t="shared" si="21"/>
        <v>1</v>
      </c>
      <c r="I62" s="93" t="str" cm="1">
        <f t="array" ref="I62">IFERROR(INDEX('Budget Planning'!$C:$C, header_row_id),"")</f>
        <v/>
      </c>
      <c r="J62" s="78" t="str" cm="1">
        <f t="array" ref="J62">IFERROR(INDEX('Budget Planning'!$C:$C, row_id), "")</f>
        <v/>
      </c>
      <c r="K62" s="96" t="str" cm="1">
        <f t="array" ref="K62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2" s="96" t="str" cm="1">
        <f t="array" ref="L62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2" s="101" t="str" cm="1">
        <f t="array" ref="M62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2" s="102" t="str" cm="1">
        <f t="array" ref="N62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2" s="101" t="str">
        <f t="shared" si="22"/>
        <v/>
      </c>
      <c r="P62" s="41" t="str">
        <f t="shared" ca="1" si="23"/>
        <v/>
      </c>
      <c r="Q62" s="41" t="str">
        <f t="shared" si="24"/>
        <v/>
      </c>
      <c r="R62" s="104" t="str">
        <f t="shared" ca="1" si="25"/>
        <v/>
      </c>
      <c r="S62" s="107" t="str">
        <f t="shared" si="26"/>
        <v/>
      </c>
      <c r="T62" s="41" t="str">
        <f t="shared" si="27"/>
        <v/>
      </c>
      <c r="U62" s="41" t="str">
        <f t="shared" ca="1" si="28"/>
        <v/>
      </c>
      <c r="V62" s="41" t="str">
        <f t="shared" si="29"/>
        <v/>
      </c>
      <c r="W62" s="108" t="str">
        <f t="shared" ca="1" si="30"/>
        <v/>
      </c>
      <c r="X62" s="110">
        <f t="shared" si="31"/>
        <v>-1</v>
      </c>
      <c r="Y62" s="41" t="str">
        <f t="shared" si="32"/>
        <v/>
      </c>
      <c r="Z62" s="115" t="str">
        <f t="shared" si="33"/>
        <v/>
      </c>
      <c r="AA62" s="115" t="str">
        <f t="shared" si="34"/>
        <v/>
      </c>
      <c r="AB62" s="111" t="str">
        <f t="shared" si="35"/>
        <v/>
      </c>
      <c r="AC62" s="115" t="str">
        <f t="shared" si="36"/>
        <v/>
      </c>
      <c r="AD62" s="115" t="str">
        <f t="shared" si="37"/>
        <v/>
      </c>
    </row>
    <row r="63" spans="3:30" ht="16" customHeight="1" x14ac:dyDescent="0.2">
      <c r="C63" s="93" cm="1">
        <f t="array" ref="C63" xml:space="preserve"> IF(C62=-1,-1,
IF(C62&lt;income_max_row, C62+1,
IF(C62=income_max_row, income_total_row,
IF(C62=income_total_row, "/1",
IF(C62="/1", expenses_header_row,
IF(C62&lt;expenses_max_row, C62+1,
IF(C62=expenses_max_row, expenses_total_row,
IF(C62=expenses_total_row, "/2",
IF(C62="/2", savings_header_row,
IF(C62&lt;savings_max_row, C62+1,
IF(C62=savings_max_row, savings_total_row, -1)))))))))))</f>
        <v>-1</v>
      </c>
      <c r="D63" s="94">
        <f t="shared" si="19"/>
        <v>-1</v>
      </c>
      <c r="E63" s="93" cm="1">
        <f t="array" ref="E63">1*OR(row_id=income_header_row, row_id=expenses_header_row, row_id=savings_header_row)</f>
        <v>0</v>
      </c>
      <c r="F63" s="78">
        <f t="shared" si="20"/>
        <v>0</v>
      </c>
      <c r="G63" s="78" cm="1">
        <f t="array" ref="G63">1*OR(row_id=income_total_row, row_id=expenses_total_row, row_id=savings_total_row)</f>
        <v>0</v>
      </c>
      <c r="H63" s="97">
        <f t="shared" si="21"/>
        <v>1</v>
      </c>
      <c r="I63" s="93" t="str" cm="1">
        <f t="array" ref="I63">IFERROR(INDEX('Budget Planning'!$C:$C, header_row_id),"")</f>
        <v/>
      </c>
      <c r="J63" s="78" t="str" cm="1">
        <f t="array" ref="J63">IFERROR(INDEX('Budget Planning'!$C:$C, row_id), "")</f>
        <v/>
      </c>
      <c r="K63" s="96" t="str" cm="1">
        <f t="array" ref="K63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3" s="96" t="str" cm="1">
        <f t="array" ref="L63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3" s="101" t="str" cm="1">
        <f t="array" ref="M63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3" s="102" t="str" cm="1">
        <f t="array" ref="N63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3" s="101" t="str">
        <f t="shared" si="22"/>
        <v/>
      </c>
      <c r="P63" s="41" t="str">
        <f t="shared" ca="1" si="23"/>
        <v/>
      </c>
      <c r="Q63" s="41" t="str">
        <f t="shared" si="24"/>
        <v/>
      </c>
      <c r="R63" s="104" t="str">
        <f t="shared" ca="1" si="25"/>
        <v/>
      </c>
      <c r="S63" s="107" t="str">
        <f t="shared" si="26"/>
        <v/>
      </c>
      <c r="T63" s="41" t="str">
        <f t="shared" si="27"/>
        <v/>
      </c>
      <c r="U63" s="41" t="str">
        <f t="shared" ca="1" si="28"/>
        <v/>
      </c>
      <c r="V63" s="41" t="str">
        <f t="shared" si="29"/>
        <v/>
      </c>
      <c r="W63" s="108" t="str">
        <f t="shared" ca="1" si="30"/>
        <v/>
      </c>
      <c r="X63" s="110">
        <f t="shared" si="31"/>
        <v>-1</v>
      </c>
      <c r="Y63" s="41" t="str">
        <f t="shared" si="32"/>
        <v/>
      </c>
      <c r="Z63" s="115" t="str">
        <f t="shared" si="33"/>
        <v/>
      </c>
      <c r="AA63" s="115" t="str">
        <f t="shared" si="34"/>
        <v/>
      </c>
      <c r="AB63" s="111" t="str">
        <f t="shared" si="35"/>
        <v/>
      </c>
      <c r="AC63" s="115" t="str">
        <f t="shared" si="36"/>
        <v/>
      </c>
      <c r="AD63" s="115" t="str">
        <f t="shared" si="37"/>
        <v/>
      </c>
    </row>
    <row r="64" spans="3:30" ht="16" customHeight="1" x14ac:dyDescent="0.2">
      <c r="C64" s="93" cm="1">
        <f t="array" ref="C64" xml:space="preserve"> IF(C63=-1,-1,
IF(C63&lt;income_max_row, C63+1,
IF(C63=income_max_row, income_total_row,
IF(C63=income_total_row, "/1",
IF(C63="/1", expenses_header_row,
IF(C63&lt;expenses_max_row, C63+1,
IF(C63=expenses_max_row, expenses_total_row,
IF(C63=expenses_total_row, "/2",
IF(C63="/2", savings_header_row,
IF(C63&lt;savings_max_row, C63+1,
IF(C63=savings_max_row, savings_total_row, -1)))))))))))</f>
        <v>-1</v>
      </c>
      <c r="D64" s="94">
        <f t="shared" si="19"/>
        <v>-1</v>
      </c>
      <c r="E64" s="93" cm="1">
        <f t="array" ref="E64">1*OR(row_id=income_header_row, row_id=expenses_header_row, row_id=savings_header_row)</f>
        <v>0</v>
      </c>
      <c r="F64" s="78">
        <f t="shared" si="20"/>
        <v>0</v>
      </c>
      <c r="G64" s="78" cm="1">
        <f t="array" ref="G64">1*OR(row_id=income_total_row, row_id=expenses_total_row, row_id=savings_total_row)</f>
        <v>0</v>
      </c>
      <c r="H64" s="97">
        <f t="shared" si="21"/>
        <v>1</v>
      </c>
      <c r="I64" s="93" t="str" cm="1">
        <f t="array" ref="I64">IFERROR(INDEX('Budget Planning'!$C:$C, header_row_id),"")</f>
        <v/>
      </c>
      <c r="J64" s="78" t="str" cm="1">
        <f t="array" ref="J64">IFERROR(INDEX('Budget Planning'!$C:$C, row_id), "")</f>
        <v/>
      </c>
      <c r="K64" s="96" t="str" cm="1">
        <f t="array" ref="K64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4" s="96" t="str" cm="1">
        <f t="array" ref="L64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4" s="101" t="str" cm="1">
        <f t="array" ref="M64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4" s="102" t="str" cm="1">
        <f t="array" ref="N64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4" s="101" t="str">
        <f t="shared" si="22"/>
        <v/>
      </c>
      <c r="P64" s="41" t="str">
        <f t="shared" ca="1" si="23"/>
        <v/>
      </c>
      <c r="Q64" s="41" t="str">
        <f t="shared" si="24"/>
        <v/>
      </c>
      <c r="R64" s="104" t="str">
        <f t="shared" ca="1" si="25"/>
        <v/>
      </c>
      <c r="S64" s="107" t="str">
        <f t="shared" si="26"/>
        <v/>
      </c>
      <c r="T64" s="41" t="str">
        <f t="shared" si="27"/>
        <v/>
      </c>
      <c r="U64" s="41" t="str">
        <f t="shared" ca="1" si="28"/>
        <v/>
      </c>
      <c r="V64" s="41" t="str">
        <f t="shared" si="29"/>
        <v/>
      </c>
      <c r="W64" s="108" t="str">
        <f t="shared" ca="1" si="30"/>
        <v/>
      </c>
      <c r="X64" s="110">
        <f t="shared" si="31"/>
        <v>-1</v>
      </c>
      <c r="Y64" s="41" t="str">
        <f t="shared" si="32"/>
        <v/>
      </c>
      <c r="Z64" s="115" t="str">
        <f t="shared" si="33"/>
        <v/>
      </c>
      <c r="AA64" s="115" t="str">
        <f t="shared" si="34"/>
        <v/>
      </c>
      <c r="AB64" s="111" t="str">
        <f t="shared" si="35"/>
        <v/>
      </c>
      <c r="AC64" s="115" t="str">
        <f t="shared" si="36"/>
        <v/>
      </c>
      <c r="AD64" s="115" t="str">
        <f t="shared" si="37"/>
        <v/>
      </c>
    </row>
    <row r="65" spans="3:30" ht="16" customHeight="1" x14ac:dyDescent="0.2">
      <c r="C65" s="93" cm="1">
        <f t="array" ref="C65" xml:space="preserve"> IF(C64=-1,-1,
IF(C64&lt;income_max_row, C64+1,
IF(C64=income_max_row, income_total_row,
IF(C64=income_total_row, "/1",
IF(C64="/1", expenses_header_row,
IF(C64&lt;expenses_max_row, C64+1,
IF(C64=expenses_max_row, expenses_total_row,
IF(C64=expenses_total_row, "/2",
IF(C64="/2", savings_header_row,
IF(C64&lt;savings_max_row, C64+1,
IF(C64=savings_max_row, savings_total_row, -1)))))))))))</f>
        <v>-1</v>
      </c>
      <c r="D65" s="94">
        <f t="shared" si="19"/>
        <v>-1</v>
      </c>
      <c r="E65" s="93" cm="1">
        <f t="array" ref="E65">1*OR(row_id=income_header_row, row_id=expenses_header_row, row_id=savings_header_row)</f>
        <v>0</v>
      </c>
      <c r="F65" s="78">
        <f t="shared" si="20"/>
        <v>0</v>
      </c>
      <c r="G65" s="78" cm="1">
        <f t="array" ref="G65">1*OR(row_id=income_total_row, row_id=expenses_total_row, row_id=savings_total_row)</f>
        <v>0</v>
      </c>
      <c r="H65" s="97">
        <f t="shared" si="21"/>
        <v>1</v>
      </c>
      <c r="I65" s="93" t="str" cm="1">
        <f t="array" ref="I65">IFERROR(INDEX('Budget Planning'!$C:$C, header_row_id),"")</f>
        <v/>
      </c>
      <c r="J65" s="78" t="str" cm="1">
        <f t="array" ref="J65">IFERROR(INDEX('Budget Planning'!$C:$C, row_id), "")</f>
        <v/>
      </c>
      <c r="K65" s="96" t="str" cm="1">
        <f t="array" ref="K65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5" s="96" t="str" cm="1">
        <f t="array" ref="L65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5" s="101" t="str" cm="1">
        <f t="array" ref="M65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5" s="102" t="str" cm="1">
        <f t="array" ref="N65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5" s="101" t="str">
        <f t="shared" si="22"/>
        <v/>
      </c>
      <c r="P65" s="41" t="str">
        <f t="shared" ca="1" si="23"/>
        <v/>
      </c>
      <c r="Q65" s="41" t="str">
        <f t="shared" si="24"/>
        <v/>
      </c>
      <c r="R65" s="104" t="str">
        <f t="shared" ca="1" si="25"/>
        <v/>
      </c>
      <c r="S65" s="107" t="str">
        <f t="shared" si="26"/>
        <v/>
      </c>
      <c r="T65" s="41" t="str">
        <f t="shared" si="27"/>
        <v/>
      </c>
      <c r="U65" s="41" t="str">
        <f t="shared" ca="1" si="28"/>
        <v/>
      </c>
      <c r="V65" s="41" t="str">
        <f t="shared" si="29"/>
        <v/>
      </c>
      <c r="W65" s="108" t="str">
        <f t="shared" ca="1" si="30"/>
        <v/>
      </c>
      <c r="X65" s="110">
        <f t="shared" si="31"/>
        <v>-1</v>
      </c>
      <c r="Y65" s="41" t="str">
        <f t="shared" si="32"/>
        <v/>
      </c>
      <c r="Z65" s="115" t="str">
        <f t="shared" si="33"/>
        <v/>
      </c>
      <c r="AA65" s="115" t="str">
        <f t="shared" si="34"/>
        <v/>
      </c>
      <c r="AB65" s="111" t="str">
        <f t="shared" si="35"/>
        <v/>
      </c>
      <c r="AC65" s="115" t="str">
        <f t="shared" si="36"/>
        <v/>
      </c>
      <c r="AD65" s="115" t="str">
        <f t="shared" si="37"/>
        <v/>
      </c>
    </row>
    <row r="66" spans="3:30" ht="16" customHeight="1" x14ac:dyDescent="0.2">
      <c r="C66" s="93" cm="1">
        <f t="array" ref="C66" xml:space="preserve"> IF(C65=-1,-1,
IF(C65&lt;income_max_row, C65+1,
IF(C65=income_max_row, income_total_row,
IF(C65=income_total_row, "/1",
IF(C65="/1", expenses_header_row,
IF(C65&lt;expenses_max_row, C65+1,
IF(C65=expenses_max_row, expenses_total_row,
IF(C65=expenses_total_row, "/2",
IF(C65="/2", savings_header_row,
IF(C65&lt;savings_max_row, C65+1,
IF(C65=savings_max_row, savings_total_row, -1)))))))))))</f>
        <v>-1</v>
      </c>
      <c r="D66" s="94">
        <f t="shared" si="19"/>
        <v>-1</v>
      </c>
      <c r="E66" s="93" cm="1">
        <f t="array" ref="E66">1*OR(row_id=income_header_row, row_id=expenses_header_row, row_id=savings_header_row)</f>
        <v>0</v>
      </c>
      <c r="F66" s="78">
        <f t="shared" si="20"/>
        <v>0</v>
      </c>
      <c r="G66" s="78" cm="1">
        <f t="array" ref="G66">1*OR(row_id=income_total_row, row_id=expenses_total_row, row_id=savings_total_row)</f>
        <v>0</v>
      </c>
      <c r="H66" s="97">
        <f t="shared" si="21"/>
        <v>1</v>
      </c>
      <c r="I66" s="93" t="str" cm="1">
        <f t="array" ref="I66">IFERROR(INDEX('Budget Planning'!$C:$C, header_row_id),"")</f>
        <v/>
      </c>
      <c r="J66" s="78" t="str" cm="1">
        <f t="array" ref="J66">IFERROR(INDEX('Budget Planning'!$C:$C, row_id), "")</f>
        <v/>
      </c>
      <c r="K66" s="96" t="str" cm="1">
        <f t="array" ref="K66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6" s="96" t="str" cm="1">
        <f t="array" ref="L66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6" s="101" t="str" cm="1">
        <f t="array" ref="M66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6" s="102" t="str" cm="1">
        <f t="array" ref="N66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6" s="101" t="str">
        <f t="shared" si="22"/>
        <v/>
      </c>
      <c r="P66" s="41" t="str">
        <f t="shared" ca="1" si="23"/>
        <v/>
      </c>
      <c r="Q66" s="41" t="str">
        <f t="shared" si="24"/>
        <v/>
      </c>
      <c r="R66" s="104" t="str">
        <f t="shared" ca="1" si="25"/>
        <v/>
      </c>
      <c r="S66" s="107" t="str">
        <f t="shared" si="26"/>
        <v/>
      </c>
      <c r="T66" s="41" t="str">
        <f t="shared" si="27"/>
        <v/>
      </c>
      <c r="U66" s="41" t="str">
        <f t="shared" ca="1" si="28"/>
        <v/>
      </c>
      <c r="V66" s="41" t="str">
        <f t="shared" si="29"/>
        <v/>
      </c>
      <c r="W66" s="108" t="str">
        <f t="shared" ca="1" si="30"/>
        <v/>
      </c>
      <c r="X66" s="110">
        <f t="shared" si="31"/>
        <v>-1</v>
      </c>
      <c r="Y66" s="41" t="str">
        <f t="shared" si="32"/>
        <v/>
      </c>
      <c r="Z66" s="115" t="str">
        <f t="shared" si="33"/>
        <v/>
      </c>
      <c r="AA66" s="115" t="str">
        <f t="shared" si="34"/>
        <v/>
      </c>
      <c r="AB66" s="111" t="str">
        <f t="shared" si="35"/>
        <v/>
      </c>
      <c r="AC66" s="115" t="str">
        <f t="shared" si="36"/>
        <v/>
      </c>
      <c r="AD66" s="115" t="str">
        <f t="shared" si="37"/>
        <v/>
      </c>
    </row>
    <row r="67" spans="3:30" ht="16" customHeight="1" x14ac:dyDescent="0.2">
      <c r="C67" s="93" cm="1">
        <f t="array" ref="C67" xml:space="preserve"> IF(C66=-1,-1,
IF(C66&lt;income_max_row, C66+1,
IF(C66=income_max_row, income_total_row,
IF(C66=income_total_row, "/1",
IF(C66="/1", expenses_header_row,
IF(C66&lt;expenses_max_row, C66+1,
IF(C66=expenses_max_row, expenses_total_row,
IF(C66=expenses_total_row, "/2",
IF(C66="/2", savings_header_row,
IF(C66&lt;savings_max_row, C66+1,
IF(C66=savings_max_row, savings_total_row, -1)))))))))))</f>
        <v>-1</v>
      </c>
      <c r="D67" s="94">
        <f t="shared" si="19"/>
        <v>-1</v>
      </c>
      <c r="E67" s="93" cm="1">
        <f t="array" ref="E67">1*OR(row_id=income_header_row, row_id=expenses_header_row, row_id=savings_header_row)</f>
        <v>0</v>
      </c>
      <c r="F67" s="78">
        <f t="shared" si="20"/>
        <v>0</v>
      </c>
      <c r="G67" s="78" cm="1">
        <f t="array" ref="G67">1*OR(row_id=income_total_row, row_id=expenses_total_row, row_id=savings_total_row)</f>
        <v>0</v>
      </c>
      <c r="H67" s="97">
        <f t="shared" si="21"/>
        <v>1</v>
      </c>
      <c r="I67" s="93" t="str" cm="1">
        <f t="array" ref="I67">IFERROR(INDEX('Budget Planning'!$C:$C, header_row_id),"")</f>
        <v/>
      </c>
      <c r="J67" s="78" t="str" cm="1">
        <f t="array" ref="J67">IFERROR(INDEX('Budget Planning'!$C:$C, row_id), "")</f>
        <v/>
      </c>
      <c r="K67" s="96" t="str" cm="1">
        <f t="array" ref="K67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7" s="96" t="str" cm="1">
        <f t="array" ref="L67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7" s="101" t="str" cm="1">
        <f t="array" ref="M67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7" s="102" t="str" cm="1">
        <f t="array" ref="N67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7" s="101" t="str">
        <f t="shared" si="22"/>
        <v/>
      </c>
      <c r="P67" s="41" t="str">
        <f t="shared" ca="1" si="23"/>
        <v/>
      </c>
      <c r="Q67" s="41" t="str">
        <f t="shared" si="24"/>
        <v/>
      </c>
      <c r="R67" s="104" t="str">
        <f t="shared" ca="1" si="25"/>
        <v/>
      </c>
      <c r="S67" s="107" t="str">
        <f t="shared" si="26"/>
        <v/>
      </c>
      <c r="T67" s="41" t="str">
        <f t="shared" si="27"/>
        <v/>
      </c>
      <c r="U67" s="41" t="str">
        <f t="shared" ca="1" si="28"/>
        <v/>
      </c>
      <c r="V67" s="41" t="str">
        <f t="shared" si="29"/>
        <v/>
      </c>
      <c r="W67" s="108" t="str">
        <f t="shared" ca="1" si="30"/>
        <v/>
      </c>
      <c r="X67" s="110">
        <f t="shared" si="31"/>
        <v>-1</v>
      </c>
      <c r="Y67" s="41" t="str">
        <f t="shared" si="32"/>
        <v/>
      </c>
      <c r="Z67" s="115" t="str">
        <f t="shared" si="33"/>
        <v/>
      </c>
      <c r="AA67" s="115" t="str">
        <f t="shared" si="34"/>
        <v/>
      </c>
      <c r="AB67" s="111" t="str">
        <f t="shared" si="35"/>
        <v/>
      </c>
      <c r="AC67" s="115" t="str">
        <f t="shared" si="36"/>
        <v/>
      </c>
      <c r="AD67" s="115" t="str">
        <f t="shared" si="37"/>
        <v/>
      </c>
    </row>
    <row r="68" spans="3:30" ht="16" customHeight="1" x14ac:dyDescent="0.2">
      <c r="C68" s="93" cm="1">
        <f t="array" ref="C68" xml:space="preserve"> IF(C67=-1,-1,
IF(C67&lt;income_max_row, C67+1,
IF(C67=income_max_row, income_total_row,
IF(C67=income_total_row, "/1",
IF(C67="/1", expenses_header_row,
IF(C67&lt;expenses_max_row, C67+1,
IF(C67=expenses_max_row, expenses_total_row,
IF(C67=expenses_total_row, "/2",
IF(C67="/2", savings_header_row,
IF(C67&lt;savings_max_row, C67+1,
IF(C67=savings_max_row, savings_total_row, -1)))))))))))</f>
        <v>-1</v>
      </c>
      <c r="D68" s="94">
        <f t="shared" si="19"/>
        <v>-1</v>
      </c>
      <c r="E68" s="93" cm="1">
        <f t="array" ref="E68">1*OR(row_id=income_header_row, row_id=expenses_header_row, row_id=savings_header_row)</f>
        <v>0</v>
      </c>
      <c r="F68" s="78">
        <f t="shared" si="20"/>
        <v>0</v>
      </c>
      <c r="G68" s="78" cm="1">
        <f t="array" ref="G68">1*OR(row_id=income_total_row, row_id=expenses_total_row, row_id=savings_total_row)</f>
        <v>0</v>
      </c>
      <c r="H68" s="97">
        <f t="shared" si="21"/>
        <v>1</v>
      </c>
      <c r="I68" s="93" t="str" cm="1">
        <f t="array" ref="I68">IFERROR(INDEX('Budget Planning'!$C:$C, header_row_id),"")</f>
        <v/>
      </c>
      <c r="J68" s="78" t="str" cm="1">
        <f t="array" ref="J68">IFERROR(INDEX('Budget Planning'!$C:$C, row_id), "")</f>
        <v/>
      </c>
      <c r="K68" s="96" t="str" cm="1">
        <f t="array" ref="K68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8" s="96" t="str" cm="1">
        <f t="array" ref="L68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8" s="101" t="str" cm="1">
        <f t="array" ref="M68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8" s="102" t="str" cm="1">
        <f t="array" ref="N68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8" s="101" t="str">
        <f t="shared" si="22"/>
        <v/>
      </c>
      <c r="P68" s="41" t="str">
        <f t="shared" ca="1" si="23"/>
        <v/>
      </c>
      <c r="Q68" s="41" t="str">
        <f t="shared" si="24"/>
        <v/>
      </c>
      <c r="R68" s="104" t="str">
        <f t="shared" ca="1" si="25"/>
        <v/>
      </c>
      <c r="S68" s="107" t="str">
        <f t="shared" si="26"/>
        <v/>
      </c>
      <c r="T68" s="41" t="str">
        <f t="shared" si="27"/>
        <v/>
      </c>
      <c r="U68" s="41" t="str">
        <f t="shared" ca="1" si="28"/>
        <v/>
      </c>
      <c r="V68" s="41" t="str">
        <f t="shared" si="29"/>
        <v/>
      </c>
      <c r="W68" s="108" t="str">
        <f t="shared" ca="1" si="30"/>
        <v/>
      </c>
      <c r="X68" s="110">
        <f t="shared" si="31"/>
        <v>-1</v>
      </c>
      <c r="Y68" s="41" t="str">
        <f t="shared" si="32"/>
        <v/>
      </c>
      <c r="Z68" s="115" t="str">
        <f t="shared" si="33"/>
        <v/>
      </c>
      <c r="AA68" s="115" t="str">
        <f t="shared" si="34"/>
        <v/>
      </c>
      <c r="AB68" s="111" t="str">
        <f t="shared" si="35"/>
        <v/>
      </c>
      <c r="AC68" s="115" t="str">
        <f t="shared" si="36"/>
        <v/>
      </c>
      <c r="AD68" s="115" t="str">
        <f t="shared" si="37"/>
        <v/>
      </c>
    </row>
    <row r="69" spans="3:30" ht="16" customHeight="1" x14ac:dyDescent="0.2">
      <c r="C69" s="93" cm="1">
        <f t="array" ref="C69" xml:space="preserve"> IF(C68=-1,-1,
IF(C68&lt;income_max_row, C68+1,
IF(C68=income_max_row, income_total_row,
IF(C68=income_total_row, "/1",
IF(C68="/1", expenses_header_row,
IF(C68&lt;expenses_max_row, C68+1,
IF(C68=expenses_max_row, expenses_total_row,
IF(C68=expenses_total_row, "/2",
IF(C68="/2", savings_header_row,
IF(C68&lt;savings_max_row, C68+1,
IF(C68=savings_max_row, savings_total_row, -1)))))))))))</f>
        <v>-1</v>
      </c>
      <c r="D69" s="94">
        <f t="shared" si="19"/>
        <v>-1</v>
      </c>
      <c r="E69" s="93" cm="1">
        <f t="array" ref="E69">1*OR(row_id=income_header_row, row_id=expenses_header_row, row_id=savings_header_row)</f>
        <v>0</v>
      </c>
      <c r="F69" s="78">
        <f t="shared" si="20"/>
        <v>0</v>
      </c>
      <c r="G69" s="78" cm="1">
        <f t="array" ref="G69">1*OR(row_id=income_total_row, row_id=expenses_total_row, row_id=savings_total_row)</f>
        <v>0</v>
      </c>
      <c r="H69" s="97">
        <f t="shared" si="21"/>
        <v>1</v>
      </c>
      <c r="I69" s="93" t="str" cm="1">
        <f t="array" ref="I69">IFERROR(INDEX('Budget Planning'!$C:$C, header_row_id),"")</f>
        <v/>
      </c>
      <c r="J69" s="78" t="str" cm="1">
        <f t="array" ref="J69">IFERROR(INDEX('Budget Planning'!$C:$C, row_id), "")</f>
        <v/>
      </c>
      <c r="K69" s="96" t="str" cm="1">
        <f t="array" ref="K69">IF( OR(is_header, is_empty, selected_period=""),  "",
    IF( is_total,
        IF( selected_period="Total Year",
            SUMPRODUCT( Tracking[Amount] *
                        (Tracking[Type]=type) *
                        (YEAR(Tracking[Effective Date])=selected_year)
            ),
            SUMPRODUCT( Tracking[Amount] *
                        (Tracking[Type]=type) *
                        (YEAR(Tracking[Effective Date])=selected_year) *
                        (MONTH(Tracking[Effective Date])=selected_period)
            )
        ),
        IF( selected_period="Total Year",
            SUMPRODUCT( Tracking[Amount] *
                        (Tracking[Type]=type) *
                        (Tracking[Category]=item) *
                        (YEAR(Tracking[Effective Date])=selected_year)
            ),
            SUMPRODUCT( Tracking[Amount] *
                        (Tracking[Type]=type) *
                        (Tracking[Category]=item) *
                        (YEAR(Tracking[Effective Date])=selected_year) *
                        (MONTH(Tracking[Effective Date])=selected_period)
            )
        )
    )
)</f>
        <v/>
      </c>
      <c r="L69" s="96" t="str" cm="1">
        <f t="array" ref="L69">IF(
    OR(is_header, is_empty),
    "",
    INDEX(
        'Budget Planning'!$E:$FA,
        row_id,
        MATCH(
            IF(
                selected_period = "Total Year",
                selected_year,
                DATE(selected_year, selected_period, 1)
            ),
            'Budget Planning'!$E$10:$FA$10,
            0
        )
    )
)</f>
        <v/>
      </c>
      <c r="M69" s="101" t="str" cm="1">
        <f t="array" ref="M69">IF(
  is_cat,
  IF(
    header_row_id = income_header_row,
    MATCH(income_min_row, $C:$C, 0),
    IF(
      header_row_id = expenses_header_row,
      MATCH(expenses_min_row, $C:$C, 0),
      IF(
        header_row_id = savings_header_row,
        MATCH(savings_min_row, $C:$C, 0),
        ""
      )
    )
  ),
  ""
)</f>
        <v/>
      </c>
      <c r="N69" s="102" t="str" cm="1">
        <f t="array" ref="N69">IF(
  is_cat,
  IF(
    header_row_id = income_header_row,
    MATCH(income_max_row, $C:$C, 0),
    IF(
      header_row_id = expenses_header_row,
      MATCH(expenses_max_row, $C:$C, 0),
      IF(
        header_row_id = savings_header_row,
        MATCH(savings_max_row, $C:$C, 0),
        ""
      )
    )
  ),
  ""
)</f>
        <v/>
      </c>
      <c r="O69" s="101" t="str">
        <f t="shared" si="22"/>
        <v/>
      </c>
      <c r="P69" s="41" t="str">
        <f t="shared" ca="1" si="23"/>
        <v/>
      </c>
      <c r="Q69" s="41" t="str">
        <f t="shared" si="24"/>
        <v/>
      </c>
      <c r="R69" s="104" t="str">
        <f t="shared" ca="1" si="25"/>
        <v/>
      </c>
      <c r="S69" s="107" t="str">
        <f t="shared" si="26"/>
        <v/>
      </c>
      <c r="T69" s="41" t="str">
        <f t="shared" si="27"/>
        <v/>
      </c>
      <c r="U69" s="41" t="str">
        <f t="shared" ca="1" si="28"/>
        <v/>
      </c>
      <c r="V69" s="41" t="str">
        <f t="shared" si="29"/>
        <v/>
      </c>
      <c r="W69" s="108" t="str">
        <f t="shared" ca="1" si="30"/>
        <v/>
      </c>
      <c r="X69" s="110">
        <f t="shared" si="31"/>
        <v>-1</v>
      </c>
      <c r="Y69" s="41" t="str">
        <f t="shared" si="32"/>
        <v/>
      </c>
      <c r="Z69" s="115" t="str">
        <f t="shared" si="33"/>
        <v/>
      </c>
      <c r="AA69" s="115" t="str">
        <f t="shared" si="34"/>
        <v/>
      </c>
      <c r="AB69" s="111" t="str">
        <f t="shared" si="35"/>
        <v/>
      </c>
      <c r="AC69" s="115" t="str">
        <f t="shared" si="36"/>
        <v/>
      </c>
      <c r="AD69" s="115" t="str">
        <f t="shared" si="37"/>
        <v/>
      </c>
    </row>
    <row r="70" spans="3:30" ht="16" customHeight="1" x14ac:dyDescent="0.2">
      <c r="J70" s="92"/>
    </row>
  </sheetData>
  <mergeCells count="8">
    <mergeCell ref="Y11:AD11"/>
    <mergeCell ref="AF11:AR11"/>
    <mergeCell ref="AQ5:AR5"/>
    <mergeCell ref="AQ6:AR6"/>
    <mergeCell ref="AN6:AP6"/>
    <mergeCell ref="AQ8:AR8"/>
    <mergeCell ref="AN9:AP9"/>
    <mergeCell ref="AQ9:AR9"/>
  </mergeCells>
  <conditionalFormatting sqref="Y13:AD69">
    <cfRule type="expression" dxfId="30" priority="25" stopIfTrue="1">
      <formula>row_id=income_header_row</formula>
    </cfRule>
    <cfRule type="expression" dxfId="29" priority="26" stopIfTrue="1">
      <formula>row_id=expenses_header_row</formula>
    </cfRule>
    <cfRule type="expression" dxfId="28" priority="27" stopIfTrue="1">
      <formula>row_id=savings_header_row</formula>
    </cfRule>
    <cfRule type="expression" dxfId="27" priority="28" stopIfTrue="1">
      <formula>is_total</formula>
    </cfRule>
  </conditionalFormatting>
  <conditionalFormatting sqref="AB13:AB69">
    <cfRule type="expression" dxfId="26" priority="29" stopIfTrue="1">
      <formula>AND(OR(is_cat, is_total), out_budget &gt; 0, out_percentage_completed &gt;= 1, header_row_id=income_header_row)</formula>
    </cfRule>
    <cfRule type="expression" dxfId="25" priority="30" stopIfTrue="1">
      <formula>AND(OR(is_cat, is_total), out_budget &gt; 0, out_percentage_completed &gt;= 1, header_row_id=expenses_header_row)</formula>
    </cfRule>
    <cfRule type="expression" dxfId="24" priority="31" stopIfTrue="1">
      <formula>AND(OR(is_cat, is_total), out_budget &gt; 0, out_percentage_completed &gt;= 1, header_row_id=savings_header_row)</formula>
    </cfRule>
    <cfRule type="dataBar" priority="32">
      <dataBar>
        <cfvo type="num" val="0"/>
        <cfvo type="num" val="1"/>
        <color theme="9" tint="0.79998168889431442"/>
      </dataBar>
      <extLst>
        <ext xmlns:x14="http://schemas.microsoft.com/office/spreadsheetml/2009/9/main" uri="{B025F937-C7B1-47D3-B67F-A62EFF666E3E}">
          <x14:id>{F120C1E9-8952-0A4B-AD8B-BD7FAC881D6F}</x14:id>
        </ext>
      </extLst>
    </cfRule>
  </conditionalFormatting>
  <conditionalFormatting sqref="AH16">
    <cfRule type="expression" dxfId="23" priority="19">
      <formula>AI16&lt;&gt;""</formula>
    </cfRule>
  </conditionalFormatting>
  <conditionalFormatting sqref="AH17">
    <cfRule type="expression" dxfId="22" priority="20">
      <formula>AI17&lt;&gt;""</formula>
    </cfRule>
  </conditionalFormatting>
  <conditionalFormatting sqref="AH18">
    <cfRule type="expression" dxfId="21" priority="21">
      <formula>AI18&lt;&gt;""</formula>
    </cfRule>
  </conditionalFormatting>
  <conditionalFormatting sqref="AH19">
    <cfRule type="expression" dxfId="20" priority="22">
      <formula>AI19&lt;&gt;""</formula>
    </cfRule>
  </conditionalFormatting>
  <conditionalFormatting sqref="AH20">
    <cfRule type="expression" dxfId="19" priority="23">
      <formula>AI20&lt;&gt;""</formula>
    </cfRule>
  </conditionalFormatting>
  <conditionalFormatting sqref="AH21">
    <cfRule type="expression" dxfId="18" priority="24">
      <formula>AI21&lt;&gt;""</formula>
    </cfRule>
  </conditionalFormatting>
  <conditionalFormatting sqref="AH29">
    <cfRule type="expression" dxfId="17" priority="13">
      <formula>AI29&lt;&gt;""</formula>
    </cfRule>
  </conditionalFormatting>
  <conditionalFormatting sqref="AH30">
    <cfRule type="expression" dxfId="16" priority="14">
      <formula>AI30&lt;&gt;""</formula>
    </cfRule>
  </conditionalFormatting>
  <conditionalFormatting sqref="AH31">
    <cfRule type="expression" dxfId="15" priority="15">
      <formula>AI31&lt;&gt;""</formula>
    </cfRule>
  </conditionalFormatting>
  <conditionalFormatting sqref="AH32">
    <cfRule type="expression" dxfId="14" priority="16">
      <formula>AI32&lt;&gt;""</formula>
    </cfRule>
  </conditionalFormatting>
  <conditionalFormatting sqref="AH33">
    <cfRule type="expression" dxfId="13" priority="17">
      <formula>AI33&lt;&gt;""</formula>
    </cfRule>
  </conditionalFormatting>
  <conditionalFormatting sqref="AH34">
    <cfRule type="expression" dxfId="12" priority="18">
      <formula>AI34&lt;&gt;""</formula>
    </cfRule>
  </conditionalFormatting>
  <conditionalFormatting sqref="AO29">
    <cfRule type="expression" dxfId="11" priority="7">
      <formula>AP29&lt;&gt;""</formula>
    </cfRule>
  </conditionalFormatting>
  <conditionalFormatting sqref="AO30">
    <cfRule type="expression" dxfId="10" priority="8">
      <formula>AP30&lt;&gt;""</formula>
    </cfRule>
  </conditionalFormatting>
  <conditionalFormatting sqref="AO31">
    <cfRule type="expression" dxfId="9" priority="9">
      <formula>AP31&lt;&gt;""</formula>
    </cfRule>
  </conditionalFormatting>
  <conditionalFormatting sqref="AO32">
    <cfRule type="expression" dxfId="8" priority="10">
      <formula>AP32&lt;&gt;""</formula>
    </cfRule>
  </conditionalFormatting>
  <conditionalFormatting sqref="AO33">
    <cfRule type="expression" dxfId="7" priority="11">
      <formula>AP33&lt;&gt;""</formula>
    </cfRule>
  </conditionalFormatting>
  <conditionalFormatting sqref="AO34">
    <cfRule type="expression" dxfId="6" priority="12">
      <formula>AP34&lt;&gt;""</formula>
    </cfRule>
  </conditionalFormatting>
  <conditionalFormatting sqref="AO16">
    <cfRule type="expression" dxfId="5" priority="1">
      <formula>AP16&lt;&gt;""</formula>
    </cfRule>
  </conditionalFormatting>
  <conditionalFormatting sqref="AO17">
    <cfRule type="expression" dxfId="4" priority="2">
      <formula>AP17&lt;&gt;""</formula>
    </cfRule>
  </conditionalFormatting>
  <conditionalFormatting sqref="AO18">
    <cfRule type="expression" dxfId="3" priority="3">
      <formula>AP18&lt;&gt;""</formula>
    </cfRule>
  </conditionalFormatting>
  <conditionalFormatting sqref="AO19">
    <cfRule type="expression" dxfId="2" priority="4">
      <formula>AP19&lt;&gt;""</formula>
    </cfRule>
  </conditionalFormatting>
  <conditionalFormatting sqref="AO20">
    <cfRule type="expression" dxfId="1" priority="5">
      <formula>AP20&lt;&gt;""</formula>
    </cfRule>
  </conditionalFormatting>
  <conditionalFormatting sqref="AO21">
    <cfRule type="expression" dxfId="0" priority="6">
      <formula>AP21&lt;&gt;""</formula>
    </cfRule>
  </conditionalFormatting>
  <pageMargins left="0.7" right="0.7" top="0.75" bottom="0.75" header="0.3" footer="0.3"/>
  <pageSetup orientation="portrait"/>
  <headerFooter>
    <oddFooter>&amp;C&amp;"Helvetica Neue,Regular"&amp;12&amp;K000000&amp;P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20C1E9-8952-0A4B-AD8B-BD7FAC881D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E7E7A"/>
              <x14:axisColor rgb="FF000000"/>
            </x14:dataBar>
          </x14:cfRule>
          <xm:sqref>AB13:AB69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FFB95686-6408-D942-9D19-29CA01A6850E}">
          <x14:formula1>
            <xm:f>'Dropdown Data'!$C$8:$C$21</xm:f>
          </x14:formula1>
          <xm:sqref>AQ6:AR6</xm:sqref>
        </x14:dataValidation>
        <x14:dataValidation type="list" allowBlank="1" showInputMessage="1" showErrorMessage="1" xr:uid="{3EE24896-8FA4-3E49-BD6C-6D65D3F1F232}">
          <x14:formula1>
            <xm:f>'Dropdown Data'!$E$8:$E$21</xm:f>
          </x14:formula1>
          <xm:sqref>AQ9:AR9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R54"/>
  <sheetViews>
    <sheetView showGridLines="0" tabSelected="1" topLeftCell="B33" zoomScale="117" workbookViewId="0">
      <selection activeCell="M45" sqref="M45"/>
    </sheetView>
  </sheetViews>
  <sheetFormatPr baseColWidth="10" defaultColWidth="10.83203125" defaultRowHeight="16" customHeight="1" x14ac:dyDescent="0.2"/>
  <cols>
    <col min="1" max="1" width="10.83203125" style="41" customWidth="1"/>
    <col min="2" max="2" width="3.83203125" style="41" customWidth="1"/>
    <col min="3" max="3" width="2.83203125" style="41" customWidth="1"/>
    <col min="4" max="4" width="22.33203125" style="41" customWidth="1"/>
    <col min="5" max="5" width="32.5" style="41" bestFit="1" customWidth="1"/>
    <col min="6" max="6" width="12.83203125" style="41" hidden="1" customWidth="1"/>
    <col min="7" max="7" width="3.83203125" style="41" hidden="1" customWidth="1"/>
    <col min="8" max="8" width="22.33203125" style="41" hidden="1" customWidth="1"/>
    <col min="9" max="9" width="32.5" style="41" hidden="1" customWidth="1"/>
    <col min="10" max="10" width="12.83203125" style="41" hidden="1" customWidth="1"/>
    <col min="11" max="11" width="0" style="41" hidden="1" customWidth="1"/>
    <col min="12" max="12" width="22.33203125" style="41" hidden="1" customWidth="1"/>
    <col min="13" max="13" width="32.5" style="41" bestFit="1" customWidth="1"/>
    <col min="14" max="14" width="12.83203125" style="41" customWidth="1"/>
    <col min="15" max="15" width="10.83203125" style="41"/>
    <col min="16" max="16" width="32.5" style="41" bestFit="1" customWidth="1"/>
    <col min="17" max="17" width="12.83203125" style="41" customWidth="1"/>
    <col min="18" max="16384" width="10.83203125" style="41"/>
  </cols>
  <sheetData>
    <row r="1" spans="1:6" s="47" customFormat="1" ht="10" customHeight="1" x14ac:dyDescent="0.2">
      <c r="A1" s="57"/>
      <c r="B1" s="57"/>
      <c r="C1" s="57"/>
      <c r="D1" s="57"/>
      <c r="E1" s="57"/>
    </row>
    <row r="2" spans="1:6" s="47" customFormat="1" ht="29" customHeight="1" x14ac:dyDescent="0.35">
      <c r="A2" s="57"/>
      <c r="B2" s="56" t="s">
        <v>18</v>
      </c>
      <c r="C2" s="57"/>
      <c r="D2" s="57"/>
      <c r="E2" s="57"/>
    </row>
    <row r="3" spans="1:6" s="47" customFormat="1" ht="10" customHeight="1" x14ac:dyDescent="0.2">
      <c r="A3" s="57"/>
      <c r="B3" s="57"/>
      <c r="C3" s="57"/>
      <c r="D3" s="57"/>
      <c r="E3" s="57"/>
    </row>
    <row r="4" spans="1:6" ht="15.25" customHeight="1" x14ac:dyDescent="0.2">
      <c r="A4" s="11"/>
      <c r="B4" s="11"/>
      <c r="C4" s="11"/>
      <c r="D4" s="11"/>
      <c r="E4" s="11"/>
    </row>
    <row r="5" spans="1:6" ht="15.25" customHeight="1" x14ac:dyDescent="0.2">
      <c r="A5" s="11"/>
    </row>
    <row r="6" spans="1:6" ht="15.25" customHeight="1" x14ac:dyDescent="0.2">
      <c r="A6" s="11"/>
      <c r="B6" s="11"/>
      <c r="C6" s="152" t="s">
        <v>49</v>
      </c>
      <c r="D6" s="152"/>
      <c r="E6" s="152"/>
      <c r="F6" s="152"/>
    </row>
    <row r="7" spans="1:6" ht="15.25" customHeight="1" x14ac:dyDescent="0.2">
      <c r="A7" s="11"/>
      <c r="B7" s="11"/>
      <c r="C7" s="11"/>
      <c r="D7" s="11"/>
      <c r="E7" s="11"/>
    </row>
    <row r="8" spans="1:6" ht="15.25" customHeight="1" x14ac:dyDescent="0.2">
      <c r="A8" s="11"/>
      <c r="B8" s="11"/>
      <c r="C8" s="71"/>
      <c r="D8" s="71" t="s">
        <v>50</v>
      </c>
      <c r="E8" s="72" cm="1">
        <f t="array" ref="E8">current_date</f>
        <v>44635</v>
      </c>
    </row>
    <row r="9" spans="1:6" ht="15.25" customHeight="1" x14ac:dyDescent="0.2">
      <c r="A9" s="11"/>
      <c r="B9" s="11"/>
      <c r="C9" s="71"/>
      <c r="D9" s="71" t="s">
        <v>51</v>
      </c>
      <c r="E9" s="72">
        <f>MAX(Tracking[Date])</f>
        <v>44601</v>
      </c>
    </row>
    <row r="10" spans="1:6" ht="15.25" customHeight="1" x14ac:dyDescent="0.2">
      <c r="A10" s="11"/>
      <c r="B10" s="11"/>
      <c r="C10" s="71"/>
      <c r="D10" s="71" t="s">
        <v>52</v>
      </c>
      <c r="E10" s="73" t="str">
        <f>"(" &amp; IF(E9=0, "","" &amp; _xlfn.DAYS(E8,E9)  &amp; " days ago") &amp; ")"</f>
        <v>(34 days ago)</v>
      </c>
    </row>
    <row r="11" spans="1:6" ht="16" customHeight="1" x14ac:dyDescent="0.2">
      <c r="C11" s="71"/>
      <c r="D11" s="71" t="s">
        <v>53</v>
      </c>
      <c r="E11" s="11">
        <f>COUNT(Tracking[Date])</f>
        <v>8</v>
      </c>
    </row>
    <row r="12" spans="1:6" ht="16" customHeight="1" x14ac:dyDescent="0.2">
      <c r="C12" s="71"/>
      <c r="D12" s="71" t="s">
        <v>54</v>
      </c>
      <c r="E12" s="73" t="str" cm="1">
        <f t="array" ref="E12">"(" &amp; SUMPRODUCT(--(YEAR(Tracking[Date])=YEAR(current_date)))&amp;" this year" &amp; ")"</f>
        <v>(7 this year)</v>
      </c>
    </row>
    <row r="13" spans="1:6" ht="16" customHeight="1" x14ac:dyDescent="0.2">
      <c r="C13" s="71"/>
      <c r="D13" s="71" t="s">
        <v>55</v>
      </c>
      <c r="E13" s="75">
        <f>_xlfn.IFNA(INDEX(Tracking[Balance], MATCH(Calculations!E9, Tracking[Date],0)), "-")</f>
        <v>850</v>
      </c>
    </row>
    <row r="14" spans="1:6" ht="16" customHeight="1" x14ac:dyDescent="0.2">
      <c r="D14" s="74" t="s">
        <v>56</v>
      </c>
      <c r="E14" s="73" t="str">
        <f>IF(E13&gt;=0, "of tracked income left to be allocated", "allocated not covered by income")</f>
        <v>of tracked income left to be allocated</v>
      </c>
    </row>
    <row r="17" spans="3:14" ht="16" customHeight="1" x14ac:dyDescent="0.2">
      <c r="C17" s="152" t="s">
        <v>67</v>
      </c>
      <c r="D17" s="152"/>
      <c r="E17" s="152"/>
      <c r="F17" s="152"/>
    </row>
    <row r="18" spans="3:14" ht="16" customHeight="1" x14ac:dyDescent="0.2">
      <c r="C18" s="11"/>
      <c r="D18" s="11"/>
      <c r="E18" s="11"/>
    </row>
    <row r="19" spans="3:14" ht="16" customHeight="1" x14ac:dyDescent="0.2">
      <c r="C19" s="71"/>
      <c r="D19" s="71" t="s">
        <v>68</v>
      </c>
      <c r="E19" s="41" cm="1">
        <f t="array" ref="E19">IF('Budget Dashboard'!$AQ$6 = "Current Year", YEAR(current_date), 'Budget Dashboard'!$AQ$6)</f>
        <v>2022</v>
      </c>
    </row>
    <row r="20" spans="3:14" ht="16" customHeight="1" x14ac:dyDescent="0.2">
      <c r="C20" s="71"/>
      <c r="D20" s="86" t="s">
        <v>69</v>
      </c>
      <c r="E20" s="87" t="str" cm="1">
        <f t="array" ref="E20">IF('Budget Dashboard'!$AQ$9="Total Year","Total Year",
IF('Budget Dashboard'!$AQ$9="Current Month",MONTH(current_date),
MONTH('Budget Dashboard'!$AQ$9)))</f>
        <v>Total Year</v>
      </c>
    </row>
    <row r="21" spans="3:14" ht="16" customHeight="1" x14ac:dyDescent="0.2">
      <c r="C21" s="71"/>
      <c r="D21" s="71" t="s">
        <v>70</v>
      </c>
      <c r="E21" s="73" t="str">
        <f>IF(selected_period="Total Year","Total Year",
TEXT(DATE(selected_year,selected_period,1),"mmmm"))</f>
        <v>Total Year</v>
      </c>
    </row>
    <row r="32" spans="3:14" ht="16" customHeight="1" x14ac:dyDescent="0.2">
      <c r="D32" s="125" t="s">
        <v>93</v>
      </c>
      <c r="E32" s="124"/>
      <c r="F32" s="124"/>
      <c r="G32" s="124"/>
      <c r="H32" s="124"/>
      <c r="I32" s="124"/>
      <c r="J32" s="124"/>
      <c r="K32" s="124"/>
      <c r="L32" s="124"/>
      <c r="M32" s="124"/>
      <c r="N32" s="124"/>
    </row>
    <row r="34" spans="4:16" ht="16" customHeight="1" x14ac:dyDescent="0.2">
      <c r="D34" s="126" t="s">
        <v>6</v>
      </c>
      <c r="E34" s="126" t="s">
        <v>38</v>
      </c>
      <c r="F34" s="126" t="s">
        <v>39</v>
      </c>
      <c r="G34" s="74"/>
      <c r="H34" s="126" t="s">
        <v>11</v>
      </c>
      <c r="I34" s="126" t="s">
        <v>38</v>
      </c>
      <c r="J34" s="126" t="s">
        <v>39</v>
      </c>
      <c r="L34" s="126" t="s">
        <v>14</v>
      </c>
      <c r="M34" s="126" t="s">
        <v>38</v>
      </c>
      <c r="N34" s="126" t="s">
        <v>39</v>
      </c>
    </row>
    <row r="35" spans="4:16" ht="16" customHeight="1" x14ac:dyDescent="0.2">
      <c r="D35" s="127">
        <v>1</v>
      </c>
      <c r="E35" s="129" t="str" cm="1">
        <f t="array" aca="1" ref="E35" ca="1">IF(F35="","", INDEX('Budget Dashboard'!$J:$J, MATCH(income_header_row + Calculations!D35, 'Budget Dashboard'!$X:$X, 0)))</f>
        <v>Employment</v>
      </c>
      <c r="F35" s="132" cm="1">
        <f t="array" aca="1" ref="F35" ca="1">IF(D35&gt;COUNTA(Income[]), "",
IF(INDEX('Budget Dashboard'!$K:$K, MATCH(income_header_row + Calculations!D35, 'Budget Dashboard'!$X:$X, 0))=0, "",
INDEX('Budget Dashboard'!$K:$K, MATCH(income_header_row + Calculations!D35, 'Budget Dashboard'!$X:$X, 0))))</f>
        <v>3500</v>
      </c>
      <c r="H35" s="127">
        <v>1</v>
      </c>
      <c r="I35" s="129" t="str" cm="1">
        <f t="array" aca="1" ref="I35" ca="1">IF(J35="","", INDEX('Budget Dashboard'!$J:$J, MATCH(expenses_header_row + Calculations!H35, 'Budget Dashboard'!$X:$X, 0)))</f>
        <v>Rent</v>
      </c>
      <c r="J35" s="132" cm="1">
        <f t="array" aca="1" ref="J35" ca="1">IF(H35&gt;COUNTA(Expenses[]), "",
IF(INDEX('Budget Dashboard'!$K:$K, MATCH(expenses_header_row + Calculations!H35, 'Budget Dashboard'!$X:$X, 0))=0, "",
INDEX('Budget Dashboard'!$K:$K, MATCH(expenses_header_row + Calculations!H35, 'Budget Dashboard'!$X:$X, 0))))</f>
        <v>1200</v>
      </c>
      <c r="L35" s="127">
        <v>1</v>
      </c>
      <c r="M35" s="129" t="str" cm="1">
        <f t="array" aca="1" ref="M35" ca="1">IF(N35="","", INDEX('Budget Dashboard'!$J:$J, MATCH(savings_header_row + Calculations!L35, 'Budget Dashboard'!$X:$X, 0)))</f>
        <v>Emergency Fund</v>
      </c>
      <c r="N35" s="132" cm="1">
        <f t="array" aca="1" ref="N35" ca="1">IF(L35&gt;COUNTA(Expenses[]), "",
IF(INDEX('Budget Dashboard'!$K:$K, MATCH(savings_header_row + Calculations!L35, 'Budget Dashboard'!$X:$X, 0))=0, "",
INDEX('Budget Dashboard'!$K:$K, MATCH(savings_header_row+ Calculations!L35, 'Budget Dashboard'!$X:$X, 0))))</f>
        <v>1000</v>
      </c>
    </row>
    <row r="36" spans="4:16" ht="16" customHeight="1" x14ac:dyDescent="0.2">
      <c r="D36" s="127">
        <v>2</v>
      </c>
      <c r="E36" s="129" t="str" cm="1">
        <f t="array" aca="1" ref="E36" ca="1">IF(F36="","", INDEX('Budget Dashboard'!$J:$J, MATCH(income_header_row + Calculations!D36, 'Budget Dashboard'!$X:$X, 0)))</f>
        <v>Side Hustle</v>
      </c>
      <c r="F36" s="132" cm="1">
        <f t="array" aca="1" ref="F36" ca="1">IF(D36&gt;COUNTA(Income[]), "",
IF(INDEX('Budget Dashboard'!$K:$K, MATCH(income_header_row + Calculations!D36, 'Budget Dashboard'!$X:$X, 0))=0, "",
INDEX('Budget Dashboard'!$K:$K, MATCH(income_header_row + Calculations!D36, 'Budget Dashboard'!$X:$X, 0))))</f>
        <v>500</v>
      </c>
      <c r="H36" s="127">
        <v>2</v>
      </c>
      <c r="I36" s="129" t="str" cm="1">
        <f t="array" aca="1" ref="I36" ca="1">IF(J36="","", INDEX('Budget Dashboard'!$J:$J, MATCH(expenses_header_row + Calculations!H36, 'Budget Dashboard'!$X:$X, 0)))</f>
        <v>Groceries</v>
      </c>
      <c r="J36" s="132" cm="1">
        <f t="array" aca="1" ref="J36" ca="1">IF(H36&gt;COUNTA(Expenses[]), "",
IF(INDEX('Budget Dashboard'!$K:$K, MATCH(expenses_header_row + Calculations!H36, 'Budget Dashboard'!$X:$X, 0))=0, "",
INDEX('Budget Dashboard'!$K:$K, MATCH(expenses_header_row + Calculations!H36, 'Budget Dashboard'!$X:$X, 0))))</f>
        <v>200</v>
      </c>
      <c r="L36" s="127">
        <v>2</v>
      </c>
      <c r="M36" s="129" t="str" cm="1">
        <f t="array" aca="1" ref="M36" ca="1">IF(N36="","", INDEX('Budget Dashboard'!$J:$J, MATCH(savings_header_row + Calculations!L36, 'Budget Dashboard'!$X:$X, 0)))</f>
        <v>Sinking Fund Future Payment</v>
      </c>
      <c r="N36" s="132" cm="1">
        <f t="array" aca="1" ref="N36" ca="1">IF(L36&gt;COUNTA(Expenses[]), "",
IF(INDEX('Budget Dashboard'!$K:$K, MATCH(savings_header_row + Calculations!L36, 'Budget Dashboard'!$X:$X, 0))=0, "",
INDEX('Budget Dashboard'!$K:$K, MATCH(savings_header_row+ Calculations!L36, 'Budget Dashboard'!$X:$X, 0))))</f>
        <v>500</v>
      </c>
    </row>
    <row r="37" spans="4:16" ht="16" customHeight="1" x14ac:dyDescent="0.2">
      <c r="D37" s="127">
        <v>3</v>
      </c>
      <c r="E37" s="129" t="str" cm="1">
        <f t="array" aca="1" ref="E37" ca="1">IF(F37="","", INDEX('Budget Dashboard'!$J:$J, MATCH(income_header_row + Calculations!D37, 'Budget Dashboard'!$X:$X, 0)))</f>
        <v/>
      </c>
      <c r="F37" s="132" t="str" cm="1">
        <f t="array" aca="1" ref="F37" ca="1">IF(D37&gt;COUNTA(Income[]), "",
IF(INDEX('Budget Dashboard'!$K:$K, MATCH(income_header_row + Calculations!D37, 'Budget Dashboard'!$X:$X, 0))=0, "",
INDEX('Budget Dashboard'!$K:$K, MATCH(income_header_row + Calculations!D37, 'Budget Dashboard'!$X:$X, 0))))</f>
        <v/>
      </c>
      <c r="H37" s="127">
        <v>3</v>
      </c>
      <c r="I37" s="129" t="str" cm="1">
        <f t="array" aca="1" ref="I37" ca="1">IF(J37="","", INDEX('Budget Dashboard'!$J:$J, MATCH(expenses_header_row + Calculations!H37, 'Budget Dashboard'!$X:$X, 0)))</f>
        <v>Clothing</v>
      </c>
      <c r="J37" s="132" cm="1">
        <f t="array" aca="1" ref="J37" ca="1">IF(H37&gt;COUNTA(Expenses[]), "",
IF(INDEX('Budget Dashboard'!$K:$K, MATCH(expenses_header_row + Calculations!H37, 'Budget Dashboard'!$X:$X, 0))=0, "",
INDEX('Budget Dashboard'!$K:$K, MATCH(expenses_header_row + Calculations!H37, 'Budget Dashboard'!$X:$X, 0))))</f>
        <v>150</v>
      </c>
      <c r="L37" s="127">
        <v>3</v>
      </c>
      <c r="M37" s="129" t="str" cm="1">
        <f t="array" aca="1" ref="M37" ca="1">IF(N37="","", INDEX('Budget Dashboard'!$J:$J, MATCH(savings_header_row + Calculations!L37, 'Budget Dashboard'!$X:$X, 0)))</f>
        <v/>
      </c>
      <c r="N37" s="132" t="str" cm="1">
        <f t="array" aca="1" ref="N37" ca="1">IF(L37&gt;COUNTA(Expenses[]), "",
IF(INDEX('Budget Dashboard'!$K:$K, MATCH(savings_header_row + Calculations!L37, 'Budget Dashboard'!$X:$X, 0))=0, "",
INDEX('Budget Dashboard'!$K:$K, MATCH(savings_header_row+ Calculations!L37, 'Budget Dashboard'!$X:$X, 0))))</f>
        <v/>
      </c>
    </row>
    <row r="38" spans="4:16" ht="16" customHeight="1" x14ac:dyDescent="0.2">
      <c r="D38" s="127">
        <v>4</v>
      </c>
      <c r="E38" s="129" t="str" cm="1">
        <f t="array" ref="E38">IF(F38="","", INDEX('Budget Dashboard'!$J:$J, MATCH(income_header_row + Calculations!D38, 'Budget Dashboard'!$X:$X, 0)))</f>
        <v/>
      </c>
      <c r="F38" s="132" t="str" cm="1">
        <f t="array" ref="F38">IF(D38&gt;COUNTA(Income[]), "",
IF(INDEX('Budget Dashboard'!$K:$K, MATCH(income_header_row + Calculations!D38, 'Budget Dashboard'!$X:$X, 0))=0, "",
INDEX('Budget Dashboard'!$K:$K, MATCH(income_header_row + Calculations!D38, 'Budget Dashboard'!$X:$X, 0))))</f>
        <v/>
      </c>
      <c r="H38" s="127">
        <v>4</v>
      </c>
      <c r="I38" s="129" t="str" cm="1">
        <f t="array" aca="1" ref="I38" ca="1">IF(J38="","", INDEX('Budget Dashboard'!$J:$J, MATCH(expenses_header_row + Calculations!H38, 'Budget Dashboard'!$X:$X, 0)))</f>
        <v>Transport</v>
      </c>
      <c r="J38" s="132" cm="1">
        <f t="array" aca="1" ref="J38" ca="1">IF(H38&gt;COUNTA(Expenses[]), "",
IF(INDEX('Budget Dashboard'!$K:$K, MATCH(expenses_header_row + Calculations!H38, 'Budget Dashboard'!$X:$X, 0))=0, "",
INDEX('Budget Dashboard'!$K:$K, MATCH(expenses_header_row + Calculations!H38, 'Budget Dashboard'!$X:$X, 0))))</f>
        <v>100</v>
      </c>
      <c r="L38" s="127">
        <v>4</v>
      </c>
      <c r="M38" s="129" t="str" cm="1">
        <f t="array" aca="1" ref="M38" ca="1">IF(N38="","", INDEX('Budget Dashboard'!$J:$J, MATCH(savings_header_row + Calculations!L38, 'Budget Dashboard'!$X:$X, 0)))</f>
        <v/>
      </c>
      <c r="N38" s="132" t="str" cm="1">
        <f t="array" aca="1" ref="N38" ca="1">IF(L38&gt;COUNTA(Expenses[]), "",
IF(INDEX('Budget Dashboard'!$K:$K, MATCH(savings_header_row + Calculations!L38, 'Budget Dashboard'!$X:$X, 0))=0, "",
INDEX('Budget Dashboard'!$K:$K, MATCH(savings_header_row+ Calculations!L38, 'Budget Dashboard'!$X:$X, 0))))</f>
        <v/>
      </c>
    </row>
    <row r="39" spans="4:16" ht="16" customHeight="1" x14ac:dyDescent="0.2">
      <c r="D39" s="127">
        <v>5</v>
      </c>
      <c r="E39" s="129" t="str" cm="1">
        <f t="array" ref="E39">IF(F39="","", INDEX('Budget Dashboard'!$J:$J, MATCH(income_header_row + Calculations!D39, 'Budget Dashboard'!$X:$X, 0)))</f>
        <v/>
      </c>
      <c r="F39" s="132" t="str" cm="1">
        <f t="array" ref="F39">IF(D39&gt;COUNTA(Income[]), "",
IF(INDEX('Budget Dashboard'!$K:$K, MATCH(income_header_row + Calculations!D39, 'Budget Dashboard'!$X:$X, 0))=0, "",
INDEX('Budget Dashboard'!$K:$K, MATCH(income_header_row + Calculations!D39, 'Budget Dashboard'!$X:$X, 0))))</f>
        <v/>
      </c>
      <c r="H39" s="127">
        <v>5</v>
      </c>
      <c r="I39" s="129" t="str" cm="1">
        <f t="array" aca="1" ref="I39" ca="1">IF(J39="","", INDEX('Budget Dashboard'!$J:$J, MATCH(expenses_header_row + Calculations!H39, 'Budget Dashboard'!$X:$X, 0)))</f>
        <v/>
      </c>
      <c r="J39" s="132" t="str" cm="1">
        <f t="array" aca="1" ref="J39" ca="1">IF(H39&gt;COUNTA(Expenses[]), "",
IF(INDEX('Budget Dashboard'!$K:$K, MATCH(expenses_header_row + Calculations!H39, 'Budget Dashboard'!$X:$X, 0))=0, "",
INDEX('Budget Dashboard'!$K:$K, MATCH(expenses_header_row + Calculations!H39, 'Budget Dashboard'!$X:$X, 0))))</f>
        <v/>
      </c>
      <c r="L39" s="127">
        <v>5</v>
      </c>
      <c r="M39" s="129" t="str" cm="1">
        <f t="array" aca="1" ref="M39" ca="1">IF(N39="","", INDEX('Budget Dashboard'!$J:$J, MATCH(savings_header_row + Calculations!L39, 'Budget Dashboard'!$X:$X, 0)))</f>
        <v/>
      </c>
      <c r="N39" s="132" t="str" cm="1">
        <f t="array" aca="1" ref="N39" ca="1">IF(L39&gt;COUNTA(Expenses[]), "",
IF(INDEX('Budget Dashboard'!$K:$K, MATCH(savings_header_row + Calculations!L39, 'Budget Dashboard'!$X:$X, 0))=0, "",
INDEX('Budget Dashboard'!$K:$K, MATCH(savings_header_row+ Calculations!L39, 'Budget Dashboard'!$X:$X, 0))))</f>
        <v/>
      </c>
    </row>
    <row r="40" spans="4:16" ht="16" customHeight="1" thickBot="1" x14ac:dyDescent="0.25">
      <c r="D40" s="128">
        <v>6</v>
      </c>
      <c r="E40" s="131" t="str">
        <f ca="1">IF(F40="","","Other")</f>
        <v/>
      </c>
      <c r="F40" s="153" t="str">
        <f ca="1">IF(F41-SUM(F35:F39)=0, "", F41-SUM(F35:F39))</f>
        <v/>
      </c>
      <c r="H40" s="128">
        <v>6</v>
      </c>
      <c r="I40" s="131" t="str">
        <f ca="1">IF(J40="","","Other")</f>
        <v/>
      </c>
      <c r="J40" s="153" t="str">
        <f ca="1">IF(J41-SUM(J35:J39)=0, "", J41-SUM(J35:J39))</f>
        <v/>
      </c>
      <c r="L40" s="128">
        <v>6</v>
      </c>
      <c r="M40" s="131" t="str">
        <f ca="1">IF(N40="","","Other")</f>
        <v/>
      </c>
      <c r="N40" s="153" t="str">
        <f ca="1">IF(N41-SUM(N35:N39)=0, "", N41-SUM(N35:N39))</f>
        <v/>
      </c>
    </row>
    <row r="41" spans="4:16" ht="16" customHeight="1" thickTop="1" x14ac:dyDescent="0.2">
      <c r="D41" s="127"/>
      <c r="E41" s="130" t="s">
        <v>10</v>
      </c>
      <c r="F41" s="133" cm="1">
        <f t="array" aca="1" ref="F41" ca="1">INDEX('Budget Dashboard'!$K:$K, MATCH(income_total_row, 'Budget Dashboard'!$X:$X, 0))</f>
        <v>4000</v>
      </c>
      <c r="H41" s="127"/>
      <c r="I41" s="130" t="s">
        <v>10</v>
      </c>
      <c r="J41" s="133" cm="1">
        <f t="array" aca="1" ref="J41" ca="1">INDEX('Budget Dashboard'!$K:$K, MATCH(expenses_total_row, 'Budget Dashboard'!$X:$X, 0))</f>
        <v>1650</v>
      </c>
      <c r="L41" s="127"/>
      <c r="M41" s="130" t="s">
        <v>10</v>
      </c>
      <c r="N41" s="133" cm="1">
        <f t="array" aca="1" ref="N41" ca="1">INDEX('Budget Dashboard'!$K:$K, MATCH(savings_total_row, 'Budget Dashboard'!$X:$X, 0))</f>
        <v>1500</v>
      </c>
    </row>
    <row r="43" spans="4:16" ht="16" customHeight="1" x14ac:dyDescent="0.2">
      <c r="P43" s="160"/>
    </row>
    <row r="47" spans="4:16" ht="16" customHeight="1" x14ac:dyDescent="0.2">
      <c r="D47" s="125" t="s">
        <v>94</v>
      </c>
      <c r="E47" s="124"/>
      <c r="F47" s="124"/>
      <c r="G47" s="124"/>
      <c r="H47" s="124"/>
      <c r="I47" s="124"/>
      <c r="J47" s="124"/>
      <c r="K47" s="124"/>
      <c r="L47" s="124"/>
      <c r="M47" s="124"/>
      <c r="N47" s="124"/>
    </row>
    <row r="53" spans="4:18" ht="16" customHeight="1" x14ac:dyDescent="0.2">
      <c r="M53" s="152" t="s">
        <v>103</v>
      </c>
      <c r="N53" s="152"/>
      <c r="O53" s="152"/>
      <c r="P53" s="157" t="s">
        <v>107</v>
      </c>
      <c r="Q53" s="157"/>
      <c r="R53" s="157"/>
    </row>
    <row r="54" spans="4:18" s="156" customFormat="1" ht="16" customHeight="1" x14ac:dyDescent="0.2">
      <c r="D54" s="159" t="s">
        <v>95</v>
      </c>
      <c r="E54" s="158" t="s">
        <v>37</v>
      </c>
      <c r="F54" s="158" t="s">
        <v>96</v>
      </c>
      <c r="G54" s="158" t="s">
        <v>97</v>
      </c>
      <c r="H54" s="158" t="s">
        <v>98</v>
      </c>
      <c r="I54" s="158" t="s">
        <v>99</v>
      </c>
      <c r="J54" s="158" t="s">
        <v>100</v>
      </c>
      <c r="K54" s="158" t="s">
        <v>101</v>
      </c>
      <c r="L54" s="158" t="s">
        <v>102</v>
      </c>
      <c r="M54" s="158" t="s">
        <v>104</v>
      </c>
      <c r="N54" s="158" t="s">
        <v>105</v>
      </c>
      <c r="O54" s="158" t="s">
        <v>106</v>
      </c>
      <c r="P54" s="158" t="s">
        <v>104</v>
      </c>
      <c r="Q54" s="158" t="s">
        <v>105</v>
      </c>
      <c r="R54" s="158" t="s">
        <v>106</v>
      </c>
    </row>
  </sheetData>
  <mergeCells count="4">
    <mergeCell ref="C6:F6"/>
    <mergeCell ref="C17:F17"/>
    <mergeCell ref="M53:O53"/>
    <mergeCell ref="P53:R53"/>
  </mergeCells>
  <phoneticPr fontId="24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E21"/>
  <sheetViews>
    <sheetView showGridLines="0" workbookViewId="0">
      <selection activeCell="C8" sqref="C8"/>
    </sheetView>
  </sheetViews>
  <sheetFormatPr baseColWidth="10" defaultColWidth="10.83203125" defaultRowHeight="16" customHeight="1" x14ac:dyDescent="0.2"/>
  <cols>
    <col min="1" max="2" width="5.83203125" style="41" customWidth="1"/>
    <col min="3" max="3" width="13.83203125" style="76" bestFit="1" customWidth="1"/>
    <col min="4" max="4" width="10.83203125" style="41" customWidth="1"/>
    <col min="5" max="5" width="15.33203125" style="41" bestFit="1" customWidth="1"/>
    <col min="6" max="6" width="10.83203125" style="41" customWidth="1"/>
    <col min="7" max="16384" width="10.83203125" style="41"/>
  </cols>
  <sheetData>
    <row r="1" spans="1:5" s="47" customFormat="1" ht="10" customHeight="1" x14ac:dyDescent="0.2">
      <c r="A1" s="79" t="s">
        <v>62</v>
      </c>
      <c r="B1" s="57"/>
      <c r="C1" s="57"/>
      <c r="D1" s="57"/>
      <c r="E1" s="57"/>
    </row>
    <row r="2" spans="1:5" s="47" customFormat="1" ht="29" customHeight="1" x14ac:dyDescent="0.35">
      <c r="A2" s="57"/>
      <c r="B2" s="56" t="s">
        <v>19</v>
      </c>
      <c r="C2" s="57"/>
      <c r="D2" s="57"/>
      <c r="E2" s="57"/>
    </row>
    <row r="3" spans="1:5" s="47" customFormat="1" ht="10" customHeight="1" x14ac:dyDescent="0.2">
      <c r="A3" s="57"/>
      <c r="B3" s="57"/>
      <c r="C3" s="57"/>
      <c r="D3" s="57"/>
      <c r="E3" s="57"/>
    </row>
    <row r="4" spans="1:5" ht="15.25" customHeight="1" x14ac:dyDescent="0.2">
      <c r="A4" s="11"/>
      <c r="B4" s="11"/>
      <c r="C4" s="11"/>
      <c r="D4" s="11"/>
      <c r="E4" s="11"/>
    </row>
    <row r="5" spans="1:5" ht="15.25" customHeight="1" x14ac:dyDescent="0.2">
      <c r="A5" s="11"/>
      <c r="B5" s="11"/>
      <c r="C5" s="11"/>
      <c r="D5" s="11"/>
      <c r="E5" s="11"/>
    </row>
    <row r="6" spans="1:5" ht="15.25" customHeight="1" x14ac:dyDescent="0.2">
      <c r="A6" s="11"/>
      <c r="B6" s="11"/>
      <c r="C6" s="11"/>
      <c r="D6" s="11"/>
      <c r="E6" s="11"/>
    </row>
    <row r="7" spans="1:5" ht="15.25" customHeight="1" x14ac:dyDescent="0.2">
      <c r="A7" s="11"/>
      <c r="B7" s="11"/>
      <c r="C7" s="80" t="s">
        <v>61</v>
      </c>
      <c r="D7" s="11"/>
      <c r="E7" s="80" t="s">
        <v>64</v>
      </c>
    </row>
    <row r="8" spans="1:5" ht="15.25" customHeight="1" x14ac:dyDescent="0.2">
      <c r="A8" s="11"/>
      <c r="B8" s="11"/>
      <c r="C8" s="81" t="s">
        <v>63</v>
      </c>
      <c r="D8" s="11"/>
      <c r="E8" s="81" t="s">
        <v>65</v>
      </c>
    </row>
    <row r="9" spans="1:5" ht="15.25" customHeight="1" x14ac:dyDescent="0.2">
      <c r="A9" s="11"/>
      <c r="B9" s="11"/>
      <c r="C9" s="82">
        <f>Starting_Year</f>
        <v>2022</v>
      </c>
      <c r="D9" s="11"/>
      <c r="E9" s="81" t="s">
        <v>66</v>
      </c>
    </row>
    <row r="10" spans="1:5" ht="15.25" customHeight="1" x14ac:dyDescent="0.2">
      <c r="A10" s="11"/>
      <c r="B10" s="11"/>
      <c r="C10" s="82">
        <f>C9+1</f>
        <v>2023</v>
      </c>
      <c r="D10" s="11"/>
      <c r="E10" s="84">
        <v>36526</v>
      </c>
    </row>
    <row r="11" spans="1:5" ht="16" customHeight="1" x14ac:dyDescent="0.2">
      <c r="C11" s="82">
        <f t="shared" ref="C11:C21" si="0">C10+1</f>
        <v>2024</v>
      </c>
      <c r="E11" s="84">
        <v>36557</v>
      </c>
    </row>
    <row r="12" spans="1:5" ht="16" customHeight="1" x14ac:dyDescent="0.2">
      <c r="C12" s="82">
        <f t="shared" si="0"/>
        <v>2025</v>
      </c>
      <c r="E12" s="84">
        <v>36586</v>
      </c>
    </row>
    <row r="13" spans="1:5" ht="16" customHeight="1" x14ac:dyDescent="0.2">
      <c r="C13" s="82">
        <f t="shared" si="0"/>
        <v>2026</v>
      </c>
      <c r="E13" s="84">
        <v>36617</v>
      </c>
    </row>
    <row r="14" spans="1:5" ht="16" customHeight="1" x14ac:dyDescent="0.2">
      <c r="C14" s="82">
        <f t="shared" si="0"/>
        <v>2027</v>
      </c>
      <c r="E14" s="84">
        <v>36647</v>
      </c>
    </row>
    <row r="15" spans="1:5" ht="16" customHeight="1" x14ac:dyDescent="0.2">
      <c r="C15" s="82">
        <f t="shared" si="0"/>
        <v>2028</v>
      </c>
      <c r="E15" s="84">
        <v>36678</v>
      </c>
    </row>
    <row r="16" spans="1:5" ht="16" customHeight="1" x14ac:dyDescent="0.2">
      <c r="C16" s="82">
        <f t="shared" si="0"/>
        <v>2029</v>
      </c>
      <c r="E16" s="84">
        <v>36708</v>
      </c>
    </row>
    <row r="17" spans="3:5" ht="16" customHeight="1" x14ac:dyDescent="0.2">
      <c r="C17" s="82">
        <f t="shared" si="0"/>
        <v>2030</v>
      </c>
      <c r="E17" s="84">
        <v>36739</v>
      </c>
    </row>
    <row r="18" spans="3:5" ht="16" customHeight="1" x14ac:dyDescent="0.2">
      <c r="C18" s="82">
        <f t="shared" si="0"/>
        <v>2031</v>
      </c>
      <c r="E18" s="84">
        <v>36770</v>
      </c>
    </row>
    <row r="19" spans="3:5" ht="16" customHeight="1" x14ac:dyDescent="0.2">
      <c r="C19" s="82">
        <f t="shared" si="0"/>
        <v>2032</v>
      </c>
      <c r="E19" s="84">
        <v>36800</v>
      </c>
    </row>
    <row r="20" spans="3:5" ht="16" customHeight="1" x14ac:dyDescent="0.2">
      <c r="C20" s="82">
        <f t="shared" si="0"/>
        <v>2033</v>
      </c>
      <c r="E20" s="84">
        <v>36831</v>
      </c>
    </row>
    <row r="21" spans="3:5" ht="16" customHeight="1" x14ac:dyDescent="0.2">
      <c r="C21" s="83">
        <f t="shared" si="0"/>
        <v>2034</v>
      </c>
      <c r="E21" s="85">
        <v>36861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30</vt:i4>
      </vt:variant>
    </vt:vector>
  </HeadingPairs>
  <TitlesOfParts>
    <vt:vector size="36" baseType="lpstr">
      <vt:lpstr>Settings</vt:lpstr>
      <vt:lpstr>Budget Planning</vt:lpstr>
      <vt:lpstr>Budget Tracking</vt:lpstr>
      <vt:lpstr>Budget Dashboard</vt:lpstr>
      <vt:lpstr>Calculations</vt:lpstr>
      <vt:lpstr>Dropdown Data</vt:lpstr>
      <vt:lpstr>'Budget Dashboard'!budget</vt:lpstr>
      <vt:lpstr>'Budget Dashboard'!budget_range</vt:lpstr>
      <vt:lpstr>'Budget Dashboard'!budget_rank</vt:lpstr>
      <vt:lpstr>'Budget Dashboard'!comb_rank</vt:lpstr>
      <vt:lpstr>'Budget Dashboard'!comb_rank_norm</vt:lpstr>
      <vt:lpstr>'Budget Dashboard'!comb_rank_norm_run_range</vt:lpstr>
      <vt:lpstr>'Budget Dashboard'!comb_rank_range</vt:lpstr>
      <vt:lpstr>'Budget Dashboard'!comb_rank_unique</vt:lpstr>
      <vt:lpstr>'Budget Dashboard'!header_row_id</vt:lpstr>
      <vt:lpstr>'Budget Dashboard'!is_cat</vt:lpstr>
      <vt:lpstr>'Budget Dashboard'!is_empty</vt:lpstr>
      <vt:lpstr>'Budget Dashboard'!is_header</vt:lpstr>
      <vt:lpstr>'Budget Dashboard'!is_total</vt:lpstr>
      <vt:lpstr>'Budget Dashboard'!item</vt:lpstr>
      <vt:lpstr>'Budget Dashboard'!out_budget</vt:lpstr>
      <vt:lpstr>'Budget Dashboard'!out_percentage_completed</vt:lpstr>
      <vt:lpstr>'Budget Dashboard'!out_tracked</vt:lpstr>
      <vt:lpstr>'Budget Dashboard'!row_id</vt:lpstr>
      <vt:lpstr>selected_period</vt:lpstr>
      <vt:lpstr>selected_period_display</vt:lpstr>
      <vt:lpstr>selected_year</vt:lpstr>
      <vt:lpstr>Shift_late_income_starting_date</vt:lpstr>
      <vt:lpstr>Shift_late_income_status</vt:lpstr>
      <vt:lpstr>'Budget Dashboard'!sort_max_row</vt:lpstr>
      <vt:lpstr>'Budget Dashboard'!sort_min_row</vt:lpstr>
      <vt:lpstr>Starting_Year</vt:lpstr>
      <vt:lpstr>'Budget Dashboard'!tracked</vt:lpstr>
      <vt:lpstr>'Budget Dashboard'!tracked_range</vt:lpstr>
      <vt:lpstr>'Budget Dashboard'!tracked_rank</vt:lpstr>
      <vt:lpstr>'Budget Dashboard'!type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Gupta</cp:lastModifiedBy>
  <dcterms:modified xsi:type="dcterms:W3CDTF">2025-11-18T05:15:08Z</dcterms:modified>
</cp:coreProperties>
</file>