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166B6A00-91DF-DE44-BB58-36E8EF700F8A}" xr6:coauthVersionLast="47" xr6:coauthVersionMax="47" xr10:uidLastSave="{00000000-0000-0000-0000-000000000000}"/>
  <bookViews>
    <workbookView visibility="hidden" xWindow="30240" yWindow="500" windowWidth="38400" windowHeight="21100" activeTab="1" xr2:uid="{3FABF9B6-ED9C-7A44-9855-88DF76E0EB52}"/>
  </bookViews>
  <sheets>
    <sheet name="Settings" sheetId="1" r:id="rId1"/>
    <sheet name="Budget Planning" sheetId="2" r:id="rId2"/>
    <sheet name="Budget Tracking" sheetId="3" r:id="rId3"/>
    <sheet name="Budget Dashboard" sheetId="4" r:id="rId4"/>
    <sheet name="Calculations" sheetId="5" r:id="rId5"/>
    <sheet name="Dropdown Data" sheetId="6" r:id="rId6"/>
  </sheets>
  <definedNames>
    <definedName name="expenses_header_row">ROW(Expenses[[#Headers],[Expenses]])</definedName>
    <definedName name="expenses_max_row">MAX(ROW(Expenses[]))</definedName>
    <definedName name="expenses_min_row">MIN(ROW(Expenses[]))</definedName>
    <definedName name="expenses_total_row">ROW('Budget Planning'!$C$46)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'Budget Planning'!$C$27</definedName>
    <definedName name="savings_header_row">ROW(Savings[[#Headers],[Savings]])</definedName>
    <definedName name="savings_max_row">MAX(ROW(Savings[]))</definedName>
    <definedName name="savings_min_row">MIN(ROW(Savings[]))</definedName>
    <definedName name="savings_total_row">ROW('Budget Planning'!$C$65)</definedName>
    <definedName name="Starting_year">Settings!$E$8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6" i="2" l="1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A11" i="2"/>
  <c r="FA12" i="2"/>
  <c r="FA13" i="2"/>
  <c r="FA14" i="2"/>
  <c r="FA15" i="2"/>
  <c r="FA16" i="2"/>
  <c r="FA17" i="2"/>
  <c r="FA18" i="2"/>
  <c r="FA19" i="2"/>
  <c r="FA20" i="2"/>
  <c r="FA21" i="2"/>
  <c r="FA22" i="2"/>
  <c r="FA23" i="2"/>
  <c r="FA24" i="2"/>
  <c r="FA25" i="2"/>
  <c r="FA26" i="2"/>
  <c r="EO27" i="2" a="1"/>
  <c r="EO27" i="2" s="1"/>
  <c r="EP27" i="2" a="1"/>
  <c r="EP27" i="2" s="1"/>
  <c r="EQ27" i="2" a="1"/>
  <c r="EQ27" i="2" s="1"/>
  <c r="ER27" i="2" a="1"/>
  <c r="ER27" i="2" s="1"/>
  <c r="ES27" i="2" a="1"/>
  <c r="ES27" i="2" s="1"/>
  <c r="ET27" i="2" a="1"/>
  <c r="ET27" i="2" s="1"/>
  <c r="EU27" i="2" a="1"/>
  <c r="EU27" i="2" s="1"/>
  <c r="EV27" i="2" a="1"/>
  <c r="EV27" i="2" s="1"/>
  <c r="EW27" i="2" a="1"/>
  <c r="EW27" i="2" s="1"/>
  <c r="EX27" i="2" a="1"/>
  <c r="EX27" i="2" s="1"/>
  <c r="EY27" i="2" a="1"/>
  <c r="EY27" i="2" s="1"/>
  <c r="EZ27" i="2" a="1"/>
  <c r="EZ27" i="2" s="1"/>
  <c r="FA27" i="2" a="1"/>
  <c r="FA27" i="2" s="1"/>
  <c r="EO29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A30" i="2"/>
  <c r="FA31" i="2"/>
  <c r="FA32" i="2"/>
  <c r="FA33" i="2"/>
  <c r="FA34" i="2"/>
  <c r="FA35" i="2"/>
  <c r="FA36" i="2"/>
  <c r="FA37" i="2"/>
  <c r="FA38" i="2"/>
  <c r="FA39" i="2"/>
  <c r="FA40" i="2"/>
  <c r="FA41" i="2"/>
  <c r="FA42" i="2"/>
  <c r="FA43" i="2"/>
  <c r="FA44" i="2"/>
  <c r="FA45" i="2"/>
  <c r="EO46" i="2" a="1"/>
  <c r="EO46" i="2" s="1"/>
  <c r="EP46" i="2" a="1"/>
  <c r="EP46" i="2" s="1"/>
  <c r="EQ46" i="2" a="1"/>
  <c r="EQ46" i="2" s="1"/>
  <c r="ER46" i="2" a="1"/>
  <c r="ER46" i="2" s="1"/>
  <c r="ES46" i="2" a="1"/>
  <c r="ES46" i="2" s="1"/>
  <c r="ET46" i="2" a="1"/>
  <c r="ET46" i="2" s="1"/>
  <c r="EU46" i="2" a="1"/>
  <c r="EU46" i="2" s="1"/>
  <c r="EV46" i="2" a="1"/>
  <c r="EV46" i="2" s="1"/>
  <c r="EW46" i="2" a="1"/>
  <c r="EW46" i="2" s="1"/>
  <c r="EX46" i="2" a="1"/>
  <c r="EX46" i="2" s="1"/>
  <c r="EY46" i="2" a="1"/>
  <c r="EY46" i="2" s="1"/>
  <c r="EZ46" i="2" a="1"/>
  <c r="EZ46" i="2" s="1"/>
  <c r="FA46" i="2" a="1"/>
  <c r="FA46" i="2" s="1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A49" i="2"/>
  <c r="FA50" i="2"/>
  <c r="FA51" i="2"/>
  <c r="FA52" i="2"/>
  <c r="FA53" i="2"/>
  <c r="FA54" i="2"/>
  <c r="FA55" i="2"/>
  <c r="FA56" i="2"/>
  <c r="FA57" i="2"/>
  <c r="FA58" i="2"/>
  <c r="FA59" i="2"/>
  <c r="FA60" i="2"/>
  <c r="FA61" i="2"/>
  <c r="FA62" i="2"/>
  <c r="FA63" i="2"/>
  <c r="FA64" i="2"/>
  <c r="EO65" i="2" a="1"/>
  <c r="EO65" i="2" s="1"/>
  <c r="EP65" i="2" a="1"/>
  <c r="EP65" i="2" s="1"/>
  <c r="EQ65" i="2" a="1"/>
  <c r="EQ65" i="2" s="1"/>
  <c r="ER65" i="2" a="1"/>
  <c r="ER65" i="2" s="1"/>
  <c r="ES65" i="2" a="1"/>
  <c r="ES65" i="2" s="1"/>
  <c r="ET65" i="2" a="1"/>
  <c r="ET65" i="2" s="1"/>
  <c r="EU65" i="2" a="1"/>
  <c r="EU65" i="2" s="1"/>
  <c r="EV65" i="2" a="1"/>
  <c r="EV65" i="2" s="1"/>
  <c r="EW65" i="2" a="1"/>
  <c r="EW65" i="2" s="1"/>
  <c r="EX65" i="2" a="1"/>
  <c r="EX65" i="2" s="1"/>
  <c r="EY65" i="2" a="1"/>
  <c r="EY65" i="2" s="1"/>
  <c r="EZ65" i="2" a="1"/>
  <c r="EZ65" i="2" s="1"/>
  <c r="FA65" i="2" a="1"/>
  <c r="FA65" i="2" s="1"/>
  <c r="AG6" i="2"/>
  <c r="AU6" i="2"/>
  <c r="BI6" i="2"/>
  <c r="BW6" i="2"/>
  <c r="CK6" i="2"/>
  <c r="CY6" i="2"/>
  <c r="DM6" i="2"/>
  <c r="EA6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AS11" i="2"/>
  <c r="BG11" i="2"/>
  <c r="BU11" i="2"/>
  <c r="CI11" i="2"/>
  <c r="CW11" i="2"/>
  <c r="DK11" i="2"/>
  <c r="DY11" i="2"/>
  <c r="EM11" i="2"/>
  <c r="AS12" i="2"/>
  <c r="BG12" i="2"/>
  <c r="BU12" i="2"/>
  <c r="CI12" i="2"/>
  <c r="CW12" i="2"/>
  <c r="DK12" i="2"/>
  <c r="DY12" i="2"/>
  <c r="EM12" i="2"/>
  <c r="AS13" i="2"/>
  <c r="BG13" i="2"/>
  <c r="BU13" i="2"/>
  <c r="CI13" i="2"/>
  <c r="CW13" i="2"/>
  <c r="DK13" i="2"/>
  <c r="DY13" i="2"/>
  <c r="EM13" i="2"/>
  <c r="AS14" i="2"/>
  <c r="BG14" i="2"/>
  <c r="BU14" i="2"/>
  <c r="CI14" i="2"/>
  <c r="CW14" i="2"/>
  <c r="DK14" i="2"/>
  <c r="DY14" i="2"/>
  <c r="EM14" i="2"/>
  <c r="AS15" i="2"/>
  <c r="BG15" i="2"/>
  <c r="BU15" i="2"/>
  <c r="CI15" i="2"/>
  <c r="CW15" i="2"/>
  <c r="DK15" i="2"/>
  <c r="DY15" i="2"/>
  <c r="EM15" i="2"/>
  <c r="AS16" i="2"/>
  <c r="BG16" i="2"/>
  <c r="BU16" i="2"/>
  <c r="CI16" i="2"/>
  <c r="CW16" i="2"/>
  <c r="DK16" i="2"/>
  <c r="DY16" i="2"/>
  <c r="EM16" i="2"/>
  <c r="AS17" i="2"/>
  <c r="BG17" i="2"/>
  <c r="BU17" i="2"/>
  <c r="CI17" i="2"/>
  <c r="CW17" i="2"/>
  <c r="DK17" i="2"/>
  <c r="DY17" i="2"/>
  <c r="EM17" i="2"/>
  <c r="AS18" i="2"/>
  <c r="BG18" i="2"/>
  <c r="BU18" i="2"/>
  <c r="CI18" i="2"/>
  <c r="CW18" i="2"/>
  <c r="DK18" i="2"/>
  <c r="DY18" i="2"/>
  <c r="EM18" i="2"/>
  <c r="AS19" i="2"/>
  <c r="BG19" i="2"/>
  <c r="BU19" i="2"/>
  <c r="CI19" i="2"/>
  <c r="CW19" i="2"/>
  <c r="DK19" i="2"/>
  <c r="DY19" i="2"/>
  <c r="EM19" i="2"/>
  <c r="AS20" i="2"/>
  <c r="BG20" i="2"/>
  <c r="BU20" i="2"/>
  <c r="CI20" i="2"/>
  <c r="CW20" i="2"/>
  <c r="DK20" i="2"/>
  <c r="DY20" i="2"/>
  <c r="EM20" i="2"/>
  <c r="AS21" i="2"/>
  <c r="BG21" i="2"/>
  <c r="BU21" i="2"/>
  <c r="CI21" i="2"/>
  <c r="CW21" i="2"/>
  <c r="DK21" i="2"/>
  <c r="DY21" i="2"/>
  <c r="EM21" i="2"/>
  <c r="AS22" i="2"/>
  <c r="BG22" i="2"/>
  <c r="BU22" i="2"/>
  <c r="CI22" i="2"/>
  <c r="CW22" i="2"/>
  <c r="DK22" i="2"/>
  <c r="DY22" i="2"/>
  <c r="EM22" i="2"/>
  <c r="AS23" i="2"/>
  <c r="BG23" i="2"/>
  <c r="BU23" i="2"/>
  <c r="CI23" i="2"/>
  <c r="CW23" i="2"/>
  <c r="DK23" i="2"/>
  <c r="DY23" i="2"/>
  <c r="EM23" i="2"/>
  <c r="AS24" i="2"/>
  <c r="BG24" i="2"/>
  <c r="BU24" i="2"/>
  <c r="CI24" i="2"/>
  <c r="CW24" i="2"/>
  <c r="DK24" i="2"/>
  <c r="DY24" i="2"/>
  <c r="EM24" i="2"/>
  <c r="AS25" i="2"/>
  <c r="BG25" i="2"/>
  <c r="BU25" i="2"/>
  <c r="CI25" i="2"/>
  <c r="CW25" i="2"/>
  <c r="DK25" i="2"/>
  <c r="DY25" i="2"/>
  <c r="EM25" i="2"/>
  <c r="AS26" i="2"/>
  <c r="BG26" i="2"/>
  <c r="BU26" i="2"/>
  <c r="CI26" i="2"/>
  <c r="CW26" i="2"/>
  <c r="DK26" i="2"/>
  <c r="DY26" i="2"/>
  <c r="EM26" i="2"/>
  <c r="AG27" i="2" a="1"/>
  <c r="AG27" i="2" s="1"/>
  <c r="AH27" i="2" a="1"/>
  <c r="AH27" i="2" s="1"/>
  <c r="AI27" i="2" a="1"/>
  <c r="AI27" i="2" s="1"/>
  <c r="AJ27" i="2" a="1"/>
  <c r="AJ27" i="2" s="1"/>
  <c r="AK27" i="2" a="1"/>
  <c r="AK27" i="2" s="1"/>
  <c r="AL27" i="2" a="1"/>
  <c r="AL27" i="2" s="1"/>
  <c r="AM27" i="2" a="1"/>
  <c r="AM27" i="2" s="1"/>
  <c r="AN27" i="2" a="1"/>
  <c r="AN27" i="2" s="1"/>
  <c r="AO27" i="2" a="1"/>
  <c r="AO27" i="2" s="1"/>
  <c r="AP27" i="2" a="1"/>
  <c r="AP27" i="2" s="1"/>
  <c r="AQ27" i="2" a="1"/>
  <c r="AQ27" i="2" s="1"/>
  <c r="AR27" i="2" a="1"/>
  <c r="AR27" i="2" s="1"/>
  <c r="AS27" i="2" a="1"/>
  <c r="AS27" i="2" s="1"/>
  <c r="AU27" i="2" a="1"/>
  <c r="AU27" i="2" s="1"/>
  <c r="AV27" i="2" a="1"/>
  <c r="AV27" i="2" s="1"/>
  <c r="AW27" i="2" a="1"/>
  <c r="AW27" i="2" s="1"/>
  <c r="AX27" i="2" a="1"/>
  <c r="AX27" i="2" s="1"/>
  <c r="AY27" i="2" a="1"/>
  <c r="AY27" i="2" s="1"/>
  <c r="AZ27" i="2" a="1"/>
  <c r="AZ27" i="2" s="1"/>
  <c r="BA27" i="2" a="1"/>
  <c r="BA27" i="2" s="1"/>
  <c r="BB27" i="2" a="1"/>
  <c r="BB27" i="2" s="1"/>
  <c r="BC27" i="2" a="1"/>
  <c r="BC27" i="2" s="1"/>
  <c r="BD27" i="2" a="1"/>
  <c r="BD27" i="2" s="1"/>
  <c r="BE27" i="2" a="1"/>
  <c r="BE27" i="2" s="1"/>
  <c r="BF27" i="2" a="1"/>
  <c r="BF27" i="2" s="1"/>
  <c r="BG27" i="2" a="1"/>
  <c r="BG27" i="2" s="1"/>
  <c r="BI27" i="2" a="1"/>
  <c r="BI27" i="2" s="1"/>
  <c r="BJ27" i="2" a="1"/>
  <c r="BJ27" i="2" s="1"/>
  <c r="BK27" i="2" a="1"/>
  <c r="BK27" i="2" s="1"/>
  <c r="BL27" i="2" a="1"/>
  <c r="BL27" i="2" s="1"/>
  <c r="BM27" i="2" a="1"/>
  <c r="BM27" i="2" s="1"/>
  <c r="BN27" i="2" a="1"/>
  <c r="BN27" i="2" s="1"/>
  <c r="BO27" i="2" a="1"/>
  <c r="BO27" i="2" s="1"/>
  <c r="BP27" i="2" a="1"/>
  <c r="BP27" i="2" s="1"/>
  <c r="BQ27" i="2" a="1"/>
  <c r="BQ27" i="2" s="1"/>
  <c r="BR27" i="2" a="1"/>
  <c r="BR27" i="2" s="1"/>
  <c r="BS27" i="2" a="1"/>
  <c r="BS27" i="2" s="1"/>
  <c r="BT27" i="2" a="1"/>
  <c r="BT27" i="2" s="1"/>
  <c r="BU27" i="2" a="1"/>
  <c r="BU27" i="2" s="1"/>
  <c r="BW27" i="2" a="1"/>
  <c r="BW27" i="2" s="1"/>
  <c r="BX27" i="2" a="1"/>
  <c r="BX27" i="2" s="1"/>
  <c r="BY27" i="2" a="1"/>
  <c r="BY27" i="2" s="1"/>
  <c r="BZ27" i="2" a="1"/>
  <c r="BZ27" i="2" s="1"/>
  <c r="CA27" i="2" a="1"/>
  <c r="CA27" i="2" s="1"/>
  <c r="CB27" i="2" a="1"/>
  <c r="CB27" i="2" s="1"/>
  <c r="CC27" i="2" a="1"/>
  <c r="CC27" i="2" s="1"/>
  <c r="CD27" i="2" a="1"/>
  <c r="CD27" i="2" s="1"/>
  <c r="CE27" i="2" a="1"/>
  <c r="CE27" i="2" s="1"/>
  <c r="CF27" i="2" a="1"/>
  <c r="CF27" i="2" s="1"/>
  <c r="CG27" i="2" a="1"/>
  <c r="CG27" i="2" s="1"/>
  <c r="CH27" i="2" a="1"/>
  <c r="CH27" i="2" s="1"/>
  <c r="CI27" i="2" a="1"/>
  <c r="CI27" i="2" s="1"/>
  <c r="CK27" i="2" a="1"/>
  <c r="CK27" i="2" s="1"/>
  <c r="CL27" i="2" a="1"/>
  <c r="CL27" i="2" s="1"/>
  <c r="CM27" i="2" a="1"/>
  <c r="CM27" i="2" s="1"/>
  <c r="CN27" i="2" a="1"/>
  <c r="CN27" i="2" s="1"/>
  <c r="CO27" i="2" a="1"/>
  <c r="CO27" i="2" s="1"/>
  <c r="CP27" i="2" a="1"/>
  <c r="CP27" i="2" s="1"/>
  <c r="CQ27" i="2" a="1"/>
  <c r="CQ27" i="2" s="1"/>
  <c r="CR27" i="2" a="1"/>
  <c r="CR27" i="2" s="1"/>
  <c r="CS27" i="2" a="1"/>
  <c r="CS27" i="2" s="1"/>
  <c r="CT27" i="2" a="1"/>
  <c r="CT27" i="2" s="1"/>
  <c r="CU27" i="2" a="1"/>
  <c r="CU27" i="2" s="1"/>
  <c r="CV27" i="2" a="1"/>
  <c r="CV27" i="2" s="1"/>
  <c r="CW27" i="2" a="1"/>
  <c r="CW27" i="2" s="1"/>
  <c r="CY27" i="2" a="1"/>
  <c r="CY27" i="2" s="1"/>
  <c r="CZ27" i="2" a="1"/>
  <c r="CZ27" i="2" s="1"/>
  <c r="DA27" i="2" a="1"/>
  <c r="DA27" i="2" s="1"/>
  <c r="DB27" i="2" a="1"/>
  <c r="DB27" i="2" s="1"/>
  <c r="DC27" i="2" a="1"/>
  <c r="DC27" i="2" s="1"/>
  <c r="DD27" i="2" a="1"/>
  <c r="DD27" i="2" s="1"/>
  <c r="DE27" i="2" a="1"/>
  <c r="DE27" i="2" s="1"/>
  <c r="DF27" i="2" a="1"/>
  <c r="DF27" i="2" s="1"/>
  <c r="DG27" i="2" a="1"/>
  <c r="DG27" i="2" s="1"/>
  <c r="DH27" i="2" a="1"/>
  <c r="DH27" i="2" s="1"/>
  <c r="DI27" i="2" a="1"/>
  <c r="DI27" i="2" s="1"/>
  <c r="DJ27" i="2" a="1"/>
  <c r="DJ27" i="2" s="1"/>
  <c r="DK27" i="2" a="1"/>
  <c r="DK27" i="2" s="1"/>
  <c r="DM27" i="2" a="1"/>
  <c r="DM27" i="2" s="1"/>
  <c r="DN27" i="2" a="1"/>
  <c r="DN27" i="2" s="1"/>
  <c r="DO27" i="2" a="1"/>
  <c r="DO27" i="2" s="1"/>
  <c r="DP27" i="2" a="1"/>
  <c r="DP27" i="2" s="1"/>
  <c r="DQ27" i="2" a="1"/>
  <c r="DQ27" i="2" s="1"/>
  <c r="DR27" i="2" a="1"/>
  <c r="DR27" i="2" s="1"/>
  <c r="DS27" i="2" a="1"/>
  <c r="DS27" i="2" s="1"/>
  <c r="DT27" i="2" a="1"/>
  <c r="DT27" i="2" s="1"/>
  <c r="DU27" i="2" a="1"/>
  <c r="DU27" i="2" s="1"/>
  <c r="DV27" i="2" a="1"/>
  <c r="DV27" i="2" s="1"/>
  <c r="DW27" i="2" a="1"/>
  <c r="DW27" i="2" s="1"/>
  <c r="DX27" i="2" a="1"/>
  <c r="DX27" i="2" s="1"/>
  <c r="DY27" i="2" a="1"/>
  <c r="DY27" i="2" s="1"/>
  <c r="EA27" i="2" a="1"/>
  <c r="EA27" i="2" s="1"/>
  <c r="EB27" i="2" a="1"/>
  <c r="EB27" i="2" s="1"/>
  <c r="EC27" i="2" a="1"/>
  <c r="EC27" i="2" s="1"/>
  <c r="ED27" i="2" a="1"/>
  <c r="ED27" i="2" s="1"/>
  <c r="EE27" i="2" a="1"/>
  <c r="EE27" i="2" s="1"/>
  <c r="EF27" i="2" a="1"/>
  <c r="EF27" i="2" s="1"/>
  <c r="EG27" i="2" a="1"/>
  <c r="EG27" i="2" s="1"/>
  <c r="EH27" i="2" a="1"/>
  <c r="EH27" i="2" s="1"/>
  <c r="EI27" i="2" a="1"/>
  <c r="EI27" i="2" s="1"/>
  <c r="EJ27" i="2" a="1"/>
  <c r="EJ27" i="2" s="1"/>
  <c r="EK27" i="2" a="1"/>
  <c r="EK27" i="2" s="1"/>
  <c r="EL27" i="2" a="1"/>
  <c r="EL27" i="2" s="1"/>
  <c r="EM27" i="2" a="1"/>
  <c r="EM27" i="2" s="1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AS30" i="2"/>
  <c r="BG30" i="2"/>
  <c r="BU30" i="2"/>
  <c r="CI30" i="2"/>
  <c r="CW30" i="2"/>
  <c r="DK30" i="2"/>
  <c r="DY30" i="2"/>
  <c r="EM30" i="2"/>
  <c r="AS31" i="2"/>
  <c r="BG31" i="2"/>
  <c r="BU31" i="2"/>
  <c r="CI31" i="2"/>
  <c r="CW31" i="2"/>
  <c r="DK31" i="2"/>
  <c r="DY31" i="2"/>
  <c r="EM31" i="2"/>
  <c r="AS32" i="2"/>
  <c r="BG32" i="2"/>
  <c r="BU32" i="2"/>
  <c r="CI32" i="2"/>
  <c r="CW32" i="2"/>
  <c r="DK32" i="2"/>
  <c r="DY32" i="2"/>
  <c r="EM32" i="2"/>
  <c r="AS33" i="2"/>
  <c r="BG33" i="2"/>
  <c r="BU33" i="2"/>
  <c r="CI33" i="2"/>
  <c r="CW33" i="2"/>
  <c r="DK33" i="2"/>
  <c r="DY33" i="2"/>
  <c r="EM33" i="2"/>
  <c r="AS34" i="2"/>
  <c r="BG34" i="2"/>
  <c r="BU34" i="2"/>
  <c r="CI34" i="2"/>
  <c r="CW34" i="2"/>
  <c r="DK34" i="2"/>
  <c r="DY34" i="2"/>
  <c r="EM34" i="2"/>
  <c r="AS35" i="2"/>
  <c r="BG35" i="2"/>
  <c r="BU35" i="2"/>
  <c r="CI35" i="2"/>
  <c r="CW35" i="2"/>
  <c r="DK35" i="2"/>
  <c r="DY35" i="2"/>
  <c r="EM35" i="2"/>
  <c r="AS36" i="2"/>
  <c r="BG36" i="2"/>
  <c r="BU36" i="2"/>
  <c r="CI36" i="2"/>
  <c r="CW36" i="2"/>
  <c r="DK36" i="2"/>
  <c r="DY36" i="2"/>
  <c r="EM36" i="2"/>
  <c r="AS37" i="2"/>
  <c r="BG37" i="2"/>
  <c r="BU37" i="2"/>
  <c r="CI37" i="2"/>
  <c r="CW37" i="2"/>
  <c r="DK37" i="2"/>
  <c r="DY37" i="2"/>
  <c r="EM37" i="2"/>
  <c r="AS38" i="2"/>
  <c r="BG38" i="2"/>
  <c r="BU38" i="2"/>
  <c r="CI38" i="2"/>
  <c r="CW38" i="2"/>
  <c r="DK38" i="2"/>
  <c r="DY38" i="2"/>
  <c r="EM38" i="2"/>
  <c r="AS39" i="2"/>
  <c r="BG39" i="2"/>
  <c r="BU39" i="2"/>
  <c r="CI39" i="2"/>
  <c r="CW39" i="2"/>
  <c r="DK39" i="2"/>
  <c r="DY39" i="2"/>
  <c r="EM39" i="2"/>
  <c r="AS40" i="2"/>
  <c r="BG40" i="2"/>
  <c r="BU40" i="2"/>
  <c r="CI40" i="2"/>
  <c r="CW40" i="2"/>
  <c r="DK40" i="2"/>
  <c r="DY40" i="2"/>
  <c r="EM40" i="2"/>
  <c r="AS41" i="2"/>
  <c r="BG41" i="2"/>
  <c r="BU41" i="2"/>
  <c r="CI41" i="2"/>
  <c r="CW41" i="2"/>
  <c r="DK41" i="2"/>
  <c r="DY41" i="2"/>
  <c r="EM41" i="2"/>
  <c r="AS42" i="2"/>
  <c r="BG42" i="2"/>
  <c r="BU42" i="2"/>
  <c r="CI42" i="2"/>
  <c r="CW42" i="2"/>
  <c r="DK42" i="2"/>
  <c r="DY42" i="2"/>
  <c r="EM42" i="2"/>
  <c r="AS43" i="2"/>
  <c r="BG43" i="2"/>
  <c r="BU43" i="2"/>
  <c r="CI43" i="2"/>
  <c r="CW43" i="2"/>
  <c r="DK43" i="2"/>
  <c r="DY43" i="2"/>
  <c r="EM43" i="2"/>
  <c r="AS44" i="2"/>
  <c r="BG44" i="2"/>
  <c r="BU44" i="2"/>
  <c r="CI44" i="2"/>
  <c r="CW44" i="2"/>
  <c r="DK44" i="2"/>
  <c r="DY44" i="2"/>
  <c r="EM44" i="2"/>
  <c r="AS45" i="2"/>
  <c r="BG45" i="2"/>
  <c r="BU45" i="2"/>
  <c r="CI45" i="2"/>
  <c r="CW45" i="2"/>
  <c r="DK45" i="2"/>
  <c r="DY45" i="2"/>
  <c r="EM45" i="2"/>
  <c r="AG46" i="2" a="1"/>
  <c r="AG46" i="2" s="1"/>
  <c r="AH46" i="2" a="1"/>
  <c r="AH46" i="2" s="1"/>
  <c r="AI46" i="2" a="1"/>
  <c r="AI46" i="2" s="1"/>
  <c r="AJ46" i="2" a="1"/>
  <c r="AJ46" i="2" s="1"/>
  <c r="AK46" i="2" a="1"/>
  <c r="AK46" i="2" s="1"/>
  <c r="AL46" i="2" a="1"/>
  <c r="AL46" i="2" s="1"/>
  <c r="AM46" i="2" a="1"/>
  <c r="AM46" i="2" s="1"/>
  <c r="AN46" i="2" a="1"/>
  <c r="AN46" i="2" s="1"/>
  <c r="AO46" i="2" a="1"/>
  <c r="AO46" i="2" s="1"/>
  <c r="AP46" i="2" a="1"/>
  <c r="AP46" i="2" s="1"/>
  <c r="AQ46" i="2" a="1"/>
  <c r="AQ46" i="2" s="1"/>
  <c r="AR46" i="2" a="1"/>
  <c r="AR46" i="2" s="1"/>
  <c r="AS46" i="2" a="1"/>
  <c r="AS46" i="2" s="1"/>
  <c r="AU46" i="2" a="1"/>
  <c r="AU46" i="2" s="1"/>
  <c r="AV46" i="2" a="1"/>
  <c r="AV46" i="2" s="1"/>
  <c r="AW46" i="2" a="1"/>
  <c r="AW46" i="2" s="1"/>
  <c r="AX46" i="2" a="1"/>
  <c r="AX46" i="2" s="1"/>
  <c r="AY46" i="2" a="1"/>
  <c r="AY46" i="2" s="1"/>
  <c r="AZ46" i="2" a="1"/>
  <c r="AZ46" i="2" s="1"/>
  <c r="BA46" i="2" a="1"/>
  <c r="BA46" i="2" s="1"/>
  <c r="BB46" i="2" a="1"/>
  <c r="BB46" i="2" s="1"/>
  <c r="BC46" i="2" a="1"/>
  <c r="BC46" i="2" s="1"/>
  <c r="BD46" i="2" a="1"/>
  <c r="BD46" i="2" s="1"/>
  <c r="BE46" i="2" a="1"/>
  <c r="BE46" i="2" s="1"/>
  <c r="BF46" i="2" a="1"/>
  <c r="BF46" i="2" s="1"/>
  <c r="BG46" i="2" a="1"/>
  <c r="BG46" i="2" s="1"/>
  <c r="BI46" i="2" a="1"/>
  <c r="BI46" i="2" s="1"/>
  <c r="BJ46" i="2" a="1"/>
  <c r="BJ46" i="2" s="1"/>
  <c r="BK46" i="2" a="1"/>
  <c r="BK46" i="2" s="1"/>
  <c r="BL46" i="2" a="1"/>
  <c r="BL46" i="2" s="1"/>
  <c r="BM46" i="2" a="1"/>
  <c r="BM46" i="2" s="1"/>
  <c r="BN46" i="2" a="1"/>
  <c r="BN46" i="2" s="1"/>
  <c r="BO46" i="2" a="1"/>
  <c r="BO46" i="2" s="1"/>
  <c r="BP46" i="2" a="1"/>
  <c r="BP46" i="2" s="1"/>
  <c r="BQ46" i="2" a="1"/>
  <c r="BQ46" i="2" s="1"/>
  <c r="BR46" i="2" a="1"/>
  <c r="BR46" i="2" s="1"/>
  <c r="BS46" i="2" a="1"/>
  <c r="BS46" i="2" s="1"/>
  <c r="BT46" i="2" a="1"/>
  <c r="BT46" i="2" s="1"/>
  <c r="BU46" i="2" a="1"/>
  <c r="BU46" i="2" s="1"/>
  <c r="BW46" i="2" a="1"/>
  <c r="BW46" i="2" s="1"/>
  <c r="BX46" i="2" a="1"/>
  <c r="BX46" i="2" s="1"/>
  <c r="BY46" i="2" a="1"/>
  <c r="BY46" i="2" s="1"/>
  <c r="BZ46" i="2" a="1"/>
  <c r="BZ46" i="2" s="1"/>
  <c r="CA46" i="2" a="1"/>
  <c r="CA46" i="2" s="1"/>
  <c r="CB46" i="2" a="1"/>
  <c r="CB46" i="2" s="1"/>
  <c r="CC46" i="2" a="1"/>
  <c r="CC46" i="2" s="1"/>
  <c r="CD46" i="2" a="1"/>
  <c r="CD46" i="2" s="1"/>
  <c r="CE46" i="2" a="1"/>
  <c r="CE46" i="2" s="1"/>
  <c r="CF46" i="2" a="1"/>
  <c r="CF46" i="2" s="1"/>
  <c r="CG46" i="2" a="1"/>
  <c r="CG46" i="2" s="1"/>
  <c r="CH46" i="2" a="1"/>
  <c r="CH46" i="2" s="1"/>
  <c r="CI46" i="2" a="1"/>
  <c r="CI46" i="2" s="1"/>
  <c r="CK46" i="2" a="1"/>
  <c r="CK46" i="2" s="1"/>
  <c r="CL46" i="2" a="1"/>
  <c r="CL46" i="2" s="1"/>
  <c r="CM46" i="2" a="1"/>
  <c r="CM46" i="2" s="1"/>
  <c r="CN46" i="2" a="1"/>
  <c r="CN46" i="2" s="1"/>
  <c r="CO46" i="2" a="1"/>
  <c r="CO46" i="2" s="1"/>
  <c r="CP46" i="2" a="1"/>
  <c r="CP46" i="2" s="1"/>
  <c r="CQ46" i="2" a="1"/>
  <c r="CQ46" i="2" s="1"/>
  <c r="CR46" i="2" a="1"/>
  <c r="CR46" i="2" s="1"/>
  <c r="CS46" i="2" a="1"/>
  <c r="CS46" i="2" s="1"/>
  <c r="CT46" i="2" a="1"/>
  <c r="CT46" i="2" s="1"/>
  <c r="CU46" i="2" a="1"/>
  <c r="CU46" i="2" s="1"/>
  <c r="CV46" i="2" a="1"/>
  <c r="CV46" i="2" s="1"/>
  <c r="CW46" i="2" a="1"/>
  <c r="CW46" i="2" s="1"/>
  <c r="CY46" i="2" a="1"/>
  <c r="CY46" i="2" s="1"/>
  <c r="CZ46" i="2" a="1"/>
  <c r="CZ46" i="2" s="1"/>
  <c r="DA46" i="2" a="1"/>
  <c r="DA46" i="2" s="1"/>
  <c r="DB46" i="2" a="1"/>
  <c r="DB46" i="2" s="1"/>
  <c r="DC46" i="2" a="1"/>
  <c r="DC46" i="2" s="1"/>
  <c r="DD46" i="2" a="1"/>
  <c r="DD46" i="2" s="1"/>
  <c r="DE46" i="2" a="1"/>
  <c r="DE46" i="2" s="1"/>
  <c r="DF46" i="2" a="1"/>
  <c r="DF46" i="2" s="1"/>
  <c r="DG46" i="2" a="1"/>
  <c r="DG46" i="2" s="1"/>
  <c r="DH46" i="2" a="1"/>
  <c r="DH46" i="2" s="1"/>
  <c r="DI46" i="2" a="1"/>
  <c r="DI46" i="2" s="1"/>
  <c r="DJ46" i="2" a="1"/>
  <c r="DJ46" i="2" s="1"/>
  <c r="DK46" i="2" a="1"/>
  <c r="DK46" i="2" s="1"/>
  <c r="DM46" i="2" a="1"/>
  <c r="DM46" i="2" s="1"/>
  <c r="DN46" i="2" a="1"/>
  <c r="DN46" i="2" s="1"/>
  <c r="DO46" i="2" a="1"/>
  <c r="DO46" i="2" s="1"/>
  <c r="DP46" i="2" a="1"/>
  <c r="DP46" i="2" s="1"/>
  <c r="DQ46" i="2" a="1"/>
  <c r="DQ46" i="2" s="1"/>
  <c r="DR46" i="2" a="1"/>
  <c r="DR46" i="2" s="1"/>
  <c r="DS46" i="2" a="1"/>
  <c r="DS46" i="2" s="1"/>
  <c r="DT46" i="2" a="1"/>
  <c r="DT46" i="2" s="1"/>
  <c r="DU46" i="2" a="1"/>
  <c r="DU46" i="2" s="1"/>
  <c r="DV46" i="2" a="1"/>
  <c r="DV46" i="2" s="1"/>
  <c r="DW46" i="2" a="1"/>
  <c r="DW46" i="2" s="1"/>
  <c r="DX46" i="2" a="1"/>
  <c r="DX46" i="2" s="1"/>
  <c r="DY46" i="2" a="1"/>
  <c r="DY46" i="2" s="1"/>
  <c r="EA46" i="2" a="1"/>
  <c r="EA46" i="2" s="1"/>
  <c r="EB46" i="2" a="1"/>
  <c r="EB46" i="2" s="1"/>
  <c r="EC46" i="2" a="1"/>
  <c r="EC46" i="2" s="1"/>
  <c r="ED46" i="2" a="1"/>
  <c r="ED46" i="2" s="1"/>
  <c r="EE46" i="2" a="1"/>
  <c r="EE46" i="2" s="1"/>
  <c r="EF46" i="2" a="1"/>
  <c r="EF46" i="2" s="1"/>
  <c r="EG46" i="2" a="1"/>
  <c r="EG46" i="2" s="1"/>
  <c r="EH46" i="2" a="1"/>
  <c r="EH46" i="2" s="1"/>
  <c r="EI46" i="2" a="1"/>
  <c r="EI46" i="2" s="1"/>
  <c r="EJ46" i="2" a="1"/>
  <c r="EJ46" i="2" s="1"/>
  <c r="EK46" i="2" a="1"/>
  <c r="EK46" i="2" s="1"/>
  <c r="EL46" i="2" a="1"/>
  <c r="EL46" i="2" s="1"/>
  <c r="EM46" i="2" a="1"/>
  <c r="EM46" i="2" s="1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AS49" i="2"/>
  <c r="BG49" i="2"/>
  <c r="BU49" i="2"/>
  <c r="CI49" i="2"/>
  <c r="CW49" i="2"/>
  <c r="DK49" i="2"/>
  <c r="DY49" i="2"/>
  <c r="EM49" i="2"/>
  <c r="AS50" i="2"/>
  <c r="BG50" i="2"/>
  <c r="BU50" i="2"/>
  <c r="CI50" i="2"/>
  <c r="CW50" i="2"/>
  <c r="DK50" i="2"/>
  <c r="DY50" i="2"/>
  <c r="EM50" i="2"/>
  <c r="AS51" i="2"/>
  <c r="BG51" i="2"/>
  <c r="BU51" i="2"/>
  <c r="CI51" i="2"/>
  <c r="CW51" i="2"/>
  <c r="DK51" i="2"/>
  <c r="DY51" i="2"/>
  <c r="EM51" i="2"/>
  <c r="AS52" i="2"/>
  <c r="BG52" i="2"/>
  <c r="BU52" i="2"/>
  <c r="CI52" i="2"/>
  <c r="CW52" i="2"/>
  <c r="DK52" i="2"/>
  <c r="DY52" i="2"/>
  <c r="EM52" i="2"/>
  <c r="AS53" i="2"/>
  <c r="BG53" i="2"/>
  <c r="BU53" i="2"/>
  <c r="CI53" i="2"/>
  <c r="CW53" i="2"/>
  <c r="DK53" i="2"/>
  <c r="DY53" i="2"/>
  <c r="EM53" i="2"/>
  <c r="AS54" i="2"/>
  <c r="BG54" i="2"/>
  <c r="BU54" i="2"/>
  <c r="CI54" i="2"/>
  <c r="CW54" i="2"/>
  <c r="DK54" i="2"/>
  <c r="DY54" i="2"/>
  <c r="EM54" i="2"/>
  <c r="AS55" i="2"/>
  <c r="BG55" i="2"/>
  <c r="BU55" i="2"/>
  <c r="CI55" i="2"/>
  <c r="CW55" i="2"/>
  <c r="DK55" i="2"/>
  <c r="DY55" i="2"/>
  <c r="EM55" i="2"/>
  <c r="AS56" i="2"/>
  <c r="BG56" i="2"/>
  <c r="BU56" i="2"/>
  <c r="CI56" i="2"/>
  <c r="CW56" i="2"/>
  <c r="DK56" i="2"/>
  <c r="DY56" i="2"/>
  <c r="EM56" i="2"/>
  <c r="AS57" i="2"/>
  <c r="BG57" i="2"/>
  <c r="BU57" i="2"/>
  <c r="CI57" i="2"/>
  <c r="CW57" i="2"/>
  <c r="DK57" i="2"/>
  <c r="DY57" i="2"/>
  <c r="EM57" i="2"/>
  <c r="AS58" i="2"/>
  <c r="BG58" i="2"/>
  <c r="BU58" i="2"/>
  <c r="CI58" i="2"/>
  <c r="CW58" i="2"/>
  <c r="DK58" i="2"/>
  <c r="DY58" i="2"/>
  <c r="EM58" i="2"/>
  <c r="AS59" i="2"/>
  <c r="BG59" i="2"/>
  <c r="BU59" i="2"/>
  <c r="CI59" i="2"/>
  <c r="CW59" i="2"/>
  <c r="DK59" i="2"/>
  <c r="DY59" i="2"/>
  <c r="EM59" i="2"/>
  <c r="AS60" i="2"/>
  <c r="BG60" i="2"/>
  <c r="BU60" i="2"/>
  <c r="CI60" i="2"/>
  <c r="CW60" i="2"/>
  <c r="DK60" i="2"/>
  <c r="DY60" i="2"/>
  <c r="EM60" i="2"/>
  <c r="AS61" i="2"/>
  <c r="BG61" i="2"/>
  <c r="BU61" i="2"/>
  <c r="CI61" i="2"/>
  <c r="CW61" i="2"/>
  <c r="DK61" i="2"/>
  <c r="DY61" i="2"/>
  <c r="EM61" i="2"/>
  <c r="AS62" i="2"/>
  <c r="BG62" i="2"/>
  <c r="BU62" i="2"/>
  <c r="CI62" i="2"/>
  <c r="CW62" i="2"/>
  <c r="DK62" i="2"/>
  <c r="DY62" i="2"/>
  <c r="EM62" i="2"/>
  <c r="AS63" i="2"/>
  <c r="BG63" i="2"/>
  <c r="BU63" i="2"/>
  <c r="CI63" i="2"/>
  <c r="CW63" i="2"/>
  <c r="DK63" i="2"/>
  <c r="DY63" i="2"/>
  <c r="EM63" i="2"/>
  <c r="AS64" i="2"/>
  <c r="BG64" i="2"/>
  <c r="BU64" i="2"/>
  <c r="CI64" i="2"/>
  <c r="CW64" i="2"/>
  <c r="DK64" i="2"/>
  <c r="DY64" i="2"/>
  <c r="EM64" i="2"/>
  <c r="AG65" i="2" a="1"/>
  <c r="AG65" i="2" s="1"/>
  <c r="AH65" i="2" a="1"/>
  <c r="AH65" i="2" s="1"/>
  <c r="AI65" i="2" a="1"/>
  <c r="AI65" i="2" s="1"/>
  <c r="AJ65" i="2" a="1"/>
  <c r="AJ65" i="2" s="1"/>
  <c r="AK65" i="2" a="1"/>
  <c r="AK65" i="2" s="1"/>
  <c r="AL65" i="2" a="1"/>
  <c r="AL65" i="2" s="1"/>
  <c r="AM65" i="2" a="1"/>
  <c r="AM65" i="2" s="1"/>
  <c r="AN65" i="2" a="1"/>
  <c r="AN65" i="2" s="1"/>
  <c r="AO65" i="2" a="1"/>
  <c r="AO65" i="2" s="1"/>
  <c r="AP65" i="2" a="1"/>
  <c r="AP65" i="2" s="1"/>
  <c r="AQ65" i="2" a="1"/>
  <c r="AQ65" i="2" s="1"/>
  <c r="AR65" i="2" a="1"/>
  <c r="AR65" i="2" s="1"/>
  <c r="AS65" i="2" a="1"/>
  <c r="AS65" i="2" s="1"/>
  <c r="AU65" i="2" a="1"/>
  <c r="AU65" i="2" s="1"/>
  <c r="AV65" i="2" a="1"/>
  <c r="AV65" i="2" s="1"/>
  <c r="AW65" i="2" a="1"/>
  <c r="AW65" i="2" s="1"/>
  <c r="AX65" i="2" a="1"/>
  <c r="AX65" i="2" s="1"/>
  <c r="AY65" i="2" a="1"/>
  <c r="AY65" i="2" s="1"/>
  <c r="AZ65" i="2" a="1"/>
  <c r="AZ65" i="2" s="1"/>
  <c r="BA65" i="2" a="1"/>
  <c r="BA65" i="2" s="1"/>
  <c r="BB65" i="2" a="1"/>
  <c r="BB65" i="2" s="1"/>
  <c r="BC65" i="2" a="1"/>
  <c r="BC65" i="2" s="1"/>
  <c r="BD65" i="2" a="1"/>
  <c r="BD65" i="2" s="1"/>
  <c r="BE65" i="2" a="1"/>
  <c r="BE65" i="2" s="1"/>
  <c r="BF65" i="2" a="1"/>
  <c r="BF65" i="2" s="1"/>
  <c r="BG65" i="2" a="1"/>
  <c r="BG65" i="2" s="1"/>
  <c r="BI65" i="2" a="1"/>
  <c r="BI65" i="2" s="1"/>
  <c r="BJ65" i="2" a="1"/>
  <c r="BJ65" i="2" s="1"/>
  <c r="BK65" i="2" a="1"/>
  <c r="BK65" i="2" s="1"/>
  <c r="BL65" i="2" a="1"/>
  <c r="BL65" i="2" s="1"/>
  <c r="BM65" i="2" a="1"/>
  <c r="BM65" i="2" s="1"/>
  <c r="BN65" i="2" a="1"/>
  <c r="BN65" i="2" s="1"/>
  <c r="BO65" i="2" a="1"/>
  <c r="BO65" i="2" s="1"/>
  <c r="BP65" i="2" a="1"/>
  <c r="BP65" i="2" s="1"/>
  <c r="BQ65" i="2" a="1"/>
  <c r="BQ65" i="2" s="1"/>
  <c r="BR65" i="2" a="1"/>
  <c r="BR65" i="2" s="1"/>
  <c r="BS65" i="2" a="1"/>
  <c r="BS65" i="2" s="1"/>
  <c r="BT65" i="2" a="1"/>
  <c r="BT65" i="2" s="1"/>
  <c r="BU65" i="2" a="1"/>
  <c r="BU65" i="2" s="1"/>
  <c r="BW65" i="2" a="1"/>
  <c r="BW65" i="2" s="1"/>
  <c r="BX65" i="2" a="1"/>
  <c r="BX65" i="2" s="1"/>
  <c r="BY65" i="2" a="1"/>
  <c r="BY65" i="2" s="1"/>
  <c r="BZ65" i="2" a="1"/>
  <c r="BZ65" i="2" s="1"/>
  <c r="CA65" i="2" a="1"/>
  <c r="CA65" i="2" s="1"/>
  <c r="CB65" i="2" a="1"/>
  <c r="CB65" i="2" s="1"/>
  <c r="CC65" i="2" a="1"/>
  <c r="CC65" i="2" s="1"/>
  <c r="CD65" i="2" a="1"/>
  <c r="CD65" i="2" s="1"/>
  <c r="CE65" i="2" a="1"/>
  <c r="CE65" i="2" s="1"/>
  <c r="CF65" i="2" a="1"/>
  <c r="CF65" i="2" s="1"/>
  <c r="CG65" i="2" a="1"/>
  <c r="CG65" i="2" s="1"/>
  <c r="CH65" i="2" a="1"/>
  <c r="CH65" i="2" s="1"/>
  <c r="CI65" i="2" a="1"/>
  <c r="CI65" i="2" s="1"/>
  <c r="CK65" i="2" a="1"/>
  <c r="CK65" i="2" s="1"/>
  <c r="CL65" i="2" a="1"/>
  <c r="CL65" i="2" s="1"/>
  <c r="CM65" i="2" a="1"/>
  <c r="CM65" i="2" s="1"/>
  <c r="CN65" i="2" a="1"/>
  <c r="CN65" i="2" s="1"/>
  <c r="CO65" i="2" a="1"/>
  <c r="CO65" i="2" s="1"/>
  <c r="CP65" i="2" a="1"/>
  <c r="CP65" i="2" s="1"/>
  <c r="CQ65" i="2" a="1"/>
  <c r="CQ65" i="2" s="1"/>
  <c r="CR65" i="2" a="1"/>
  <c r="CR65" i="2" s="1"/>
  <c r="CS65" i="2" a="1"/>
  <c r="CS65" i="2" s="1"/>
  <c r="CT65" i="2" a="1"/>
  <c r="CT65" i="2" s="1"/>
  <c r="CU65" i="2" a="1"/>
  <c r="CU65" i="2" s="1"/>
  <c r="CV65" i="2" a="1"/>
  <c r="CV65" i="2" s="1"/>
  <c r="CW65" i="2" a="1"/>
  <c r="CW65" i="2" s="1"/>
  <c r="CY65" i="2" a="1"/>
  <c r="CY65" i="2" s="1"/>
  <c r="CZ65" i="2" a="1"/>
  <c r="CZ65" i="2" s="1"/>
  <c r="DA65" i="2" a="1"/>
  <c r="DA65" i="2" s="1"/>
  <c r="DB65" i="2" a="1"/>
  <c r="DB65" i="2" s="1"/>
  <c r="DC65" i="2" a="1"/>
  <c r="DC65" i="2" s="1"/>
  <c r="DD65" i="2" a="1"/>
  <c r="DD65" i="2" s="1"/>
  <c r="DE65" i="2" a="1"/>
  <c r="DE65" i="2" s="1"/>
  <c r="DF65" i="2" a="1"/>
  <c r="DF65" i="2" s="1"/>
  <c r="DG65" i="2" a="1"/>
  <c r="DG65" i="2" s="1"/>
  <c r="DH65" i="2" a="1"/>
  <c r="DH65" i="2" s="1"/>
  <c r="DI65" i="2" a="1"/>
  <c r="DI65" i="2" s="1"/>
  <c r="DJ65" i="2" a="1"/>
  <c r="DJ65" i="2" s="1"/>
  <c r="DK65" i="2" a="1"/>
  <c r="DK65" i="2" s="1"/>
  <c r="DM65" i="2" a="1"/>
  <c r="DM65" i="2" s="1"/>
  <c r="DN65" i="2" a="1"/>
  <c r="DN65" i="2" s="1"/>
  <c r="DO65" i="2" a="1"/>
  <c r="DO65" i="2" s="1"/>
  <c r="DP65" i="2" a="1"/>
  <c r="DP65" i="2" s="1"/>
  <c r="DQ65" i="2" a="1"/>
  <c r="DQ65" i="2" s="1"/>
  <c r="DR65" i="2" a="1"/>
  <c r="DR65" i="2" s="1"/>
  <c r="DS65" i="2" a="1"/>
  <c r="DS65" i="2" s="1"/>
  <c r="DT65" i="2" a="1"/>
  <c r="DT65" i="2" s="1"/>
  <c r="DU65" i="2" a="1"/>
  <c r="DU65" i="2" s="1"/>
  <c r="DV65" i="2" a="1"/>
  <c r="DV65" i="2" s="1"/>
  <c r="DW65" i="2" a="1"/>
  <c r="DW65" i="2" s="1"/>
  <c r="DX65" i="2" a="1"/>
  <c r="DX65" i="2" s="1"/>
  <c r="DY65" i="2" a="1"/>
  <c r="DY65" i="2" s="1"/>
  <c r="EA65" i="2" a="1"/>
  <c r="EA65" i="2" s="1"/>
  <c r="EB65" i="2" a="1"/>
  <c r="EB65" i="2" s="1"/>
  <c r="EC65" i="2" a="1"/>
  <c r="EC65" i="2" s="1"/>
  <c r="ED65" i="2" a="1"/>
  <c r="ED65" i="2" s="1"/>
  <c r="EE65" i="2" a="1"/>
  <c r="EE65" i="2" s="1"/>
  <c r="EF65" i="2" a="1"/>
  <c r="EF65" i="2" s="1"/>
  <c r="EG65" i="2" a="1"/>
  <c r="EG65" i="2" s="1"/>
  <c r="EH65" i="2" a="1"/>
  <c r="EH65" i="2" s="1"/>
  <c r="EI65" i="2" a="1"/>
  <c r="EI65" i="2" s="1"/>
  <c r="EJ65" i="2" a="1"/>
  <c r="EJ65" i="2" s="1"/>
  <c r="EK65" i="2" a="1"/>
  <c r="EK65" i="2" s="1"/>
  <c r="EL65" i="2" a="1"/>
  <c r="EL65" i="2" s="1"/>
  <c r="EM65" i="2" a="1"/>
  <c r="EM65" i="2" s="1"/>
  <c r="S6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S27" i="2" a="1"/>
  <c r="S27" i="2" s="1"/>
  <c r="T27" i="2" a="1"/>
  <c r="T27" i="2" s="1"/>
  <c r="U27" i="2" a="1"/>
  <c r="U27" i="2" s="1"/>
  <c r="V27" i="2" a="1"/>
  <c r="V27" i="2" s="1"/>
  <c r="W27" i="2" a="1"/>
  <c r="W27" i="2" s="1"/>
  <c r="X27" i="2" a="1"/>
  <c r="X27" i="2" s="1"/>
  <c r="Y27" i="2" a="1"/>
  <c r="Y27" i="2" s="1"/>
  <c r="Z27" i="2" a="1"/>
  <c r="Z27" i="2" s="1"/>
  <c r="AA27" i="2" a="1"/>
  <c r="AA27" i="2" s="1"/>
  <c r="AB27" i="2" a="1"/>
  <c r="AB27" i="2" s="1"/>
  <c r="AC27" i="2" a="1"/>
  <c r="AC27" i="2" s="1"/>
  <c r="AD27" i="2" a="1"/>
  <c r="AD27" i="2" s="1"/>
  <c r="AE27" i="2" a="1"/>
  <c r="AE27" i="2" s="1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S46" i="2" a="1"/>
  <c r="S46" i="2" s="1"/>
  <c r="T46" i="2" a="1"/>
  <c r="T46" i="2" s="1"/>
  <c r="U46" i="2" a="1"/>
  <c r="U46" i="2" s="1"/>
  <c r="V46" i="2" a="1"/>
  <c r="V46" i="2" s="1"/>
  <c r="W46" i="2" a="1"/>
  <c r="W46" i="2" s="1"/>
  <c r="X46" i="2" a="1"/>
  <c r="X46" i="2" s="1"/>
  <c r="Y46" i="2" a="1"/>
  <c r="Y46" i="2" s="1"/>
  <c r="Z46" i="2" a="1"/>
  <c r="Z46" i="2" s="1"/>
  <c r="AA46" i="2" a="1"/>
  <c r="AA46" i="2" s="1"/>
  <c r="AB46" i="2" a="1"/>
  <c r="AB46" i="2" s="1"/>
  <c r="AC46" i="2" a="1"/>
  <c r="AC46" i="2" s="1"/>
  <c r="AD46" i="2" a="1"/>
  <c r="AD46" i="2" s="1"/>
  <c r="AE46" i="2" a="1"/>
  <c r="AE46" i="2" s="1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S65" i="2" a="1"/>
  <c r="S65" i="2" s="1"/>
  <c r="T65" i="2" a="1"/>
  <c r="T65" i="2" s="1"/>
  <c r="U65" i="2" a="1"/>
  <c r="U65" i="2" s="1"/>
  <c r="V65" i="2" a="1"/>
  <c r="V65" i="2" s="1"/>
  <c r="W65" i="2" a="1"/>
  <c r="W65" i="2" s="1"/>
  <c r="X65" i="2" a="1"/>
  <c r="X65" i="2" s="1"/>
  <c r="Y65" i="2" a="1"/>
  <c r="Y65" i="2" s="1"/>
  <c r="Z65" i="2" a="1"/>
  <c r="Z65" i="2" s="1"/>
  <c r="AA65" i="2" a="1"/>
  <c r="AA65" i="2" s="1"/>
  <c r="AB65" i="2" a="1"/>
  <c r="AB65" i="2" s="1"/>
  <c r="AC65" i="2" a="1"/>
  <c r="AC65" i="2" s="1"/>
  <c r="AD65" i="2" a="1"/>
  <c r="AD65" i="2" s="1"/>
  <c r="AE65" i="2" a="1"/>
  <c r="AE65" i="2" s="1"/>
  <c r="F65" i="2" a="1"/>
  <c r="F65" i="2" s="1"/>
  <c r="G65" i="2" a="1"/>
  <c r="G65" i="2" s="1"/>
  <c r="H65" i="2" a="1"/>
  <c r="H65" i="2" s="1"/>
  <c r="I65" i="2" a="1"/>
  <c r="I65" i="2" s="1"/>
  <c r="J65" i="2" a="1"/>
  <c r="J65" i="2" s="1"/>
  <c r="K65" i="2" a="1"/>
  <c r="K65" i="2" s="1"/>
  <c r="L65" i="2" a="1"/>
  <c r="L65" i="2" s="1"/>
  <c r="M65" i="2" a="1"/>
  <c r="M65" i="2" s="1"/>
  <c r="N65" i="2" a="1"/>
  <c r="N65" i="2" s="1"/>
  <c r="O65" i="2" a="1"/>
  <c r="O65" i="2" s="1"/>
  <c r="P65" i="2" a="1"/>
  <c r="P65" i="2" s="1"/>
  <c r="E65" i="2" a="1"/>
  <c r="E65" i="2" s="1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F46" i="2" a="1"/>
  <c r="F46" i="2" s="1"/>
  <c r="G46" i="2" a="1"/>
  <c r="G46" i="2" s="1"/>
  <c r="H46" i="2" a="1"/>
  <c r="H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 s="1"/>
  <c r="O46" i="2" a="1"/>
  <c r="O46" i="2" s="1"/>
  <c r="P46" i="2" a="1"/>
  <c r="P46" i="2" s="1"/>
  <c r="E46" i="2" a="1"/>
  <c r="E46" i="2" s="1"/>
  <c r="Q45" i="2"/>
  <c r="Q31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12" i="2"/>
  <c r="Q13" i="2"/>
  <c r="Q11" i="2"/>
  <c r="Q26" i="2"/>
  <c r="F27" i="2" a="1"/>
  <c r="F27" i="2" s="1"/>
  <c r="G27" i="2" a="1"/>
  <c r="G27" i="2" s="1"/>
  <c r="H27" i="2" a="1"/>
  <c r="H27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Q27" i="2" a="1"/>
  <c r="Q27" i="2" s="1"/>
  <c r="E27" i="2" a="1"/>
  <c r="E27" i="2" s="1"/>
  <c r="Q14" i="2"/>
  <c r="Q15" i="2"/>
  <c r="Q16" i="2"/>
  <c r="Q17" i="2"/>
  <c r="Q18" i="2"/>
  <c r="Q19" i="2"/>
  <c r="Q20" i="2"/>
  <c r="Q21" i="2"/>
  <c r="Q22" i="2"/>
  <c r="Q23" i="2"/>
  <c r="Q24" i="2"/>
  <c r="Q25" i="2"/>
  <c r="E6" i="2"/>
  <c r="EO8" i="2" l="1"/>
  <c r="EO7" i="2" s="1"/>
  <c r="EP8" i="2"/>
  <c r="EP7" i="2" s="1"/>
  <c r="EQ8" i="2"/>
  <c r="EQ7" i="2" s="1"/>
  <c r="ER8" i="2"/>
  <c r="ER7" i="2" s="1"/>
  <c r="ES8" i="2"/>
  <c r="ES7" i="2" s="1"/>
  <c r="ET8" i="2"/>
  <c r="ET7" i="2" s="1"/>
  <c r="EU8" i="2"/>
  <c r="EU7" i="2" s="1"/>
  <c r="EV8" i="2"/>
  <c r="EV7" i="2" s="1"/>
  <c r="EW8" i="2"/>
  <c r="EW7" i="2" s="1"/>
  <c r="EX8" i="2"/>
  <c r="EX7" i="2" s="1"/>
  <c r="EY8" i="2"/>
  <c r="EY7" i="2" s="1"/>
  <c r="EZ8" i="2"/>
  <c r="EZ7" i="2" s="1"/>
  <c r="FA8" i="2"/>
  <c r="FA7" i="2" s="1"/>
  <c r="AG8" i="2"/>
  <c r="AG7" i="2" s="1"/>
  <c r="AH8" i="2"/>
  <c r="AH7" i="2" s="1"/>
  <c r="AI8" i="2"/>
  <c r="AI7" i="2" s="1"/>
  <c r="AJ8" i="2"/>
  <c r="AJ7" i="2" s="1"/>
  <c r="AK8" i="2"/>
  <c r="AK7" i="2" s="1"/>
  <c r="AL8" i="2"/>
  <c r="AL7" i="2" s="1"/>
  <c r="AM8" i="2"/>
  <c r="AM7" i="2" s="1"/>
  <c r="AN8" i="2"/>
  <c r="AN7" i="2" s="1"/>
  <c r="AO8" i="2"/>
  <c r="AO7" i="2" s="1"/>
  <c r="AP8" i="2"/>
  <c r="AP7" i="2" s="1"/>
  <c r="AQ8" i="2"/>
  <c r="AQ7" i="2" s="1"/>
  <c r="AR8" i="2"/>
  <c r="AR7" i="2" s="1"/>
  <c r="AS8" i="2"/>
  <c r="AS7" i="2" s="1"/>
  <c r="AU8" i="2"/>
  <c r="AU7" i="2" s="1"/>
  <c r="AV8" i="2"/>
  <c r="AV7" i="2" s="1"/>
  <c r="AW8" i="2"/>
  <c r="AW7" i="2" s="1"/>
  <c r="AX8" i="2"/>
  <c r="AX7" i="2" s="1"/>
  <c r="AY8" i="2"/>
  <c r="AY7" i="2" s="1"/>
  <c r="AZ8" i="2"/>
  <c r="AZ7" i="2" s="1"/>
  <c r="BA8" i="2"/>
  <c r="BA7" i="2" s="1"/>
  <c r="BB8" i="2"/>
  <c r="BB7" i="2" s="1"/>
  <c r="BC8" i="2"/>
  <c r="BC7" i="2" s="1"/>
  <c r="BD8" i="2"/>
  <c r="BD7" i="2" s="1"/>
  <c r="BE8" i="2"/>
  <c r="BE7" i="2" s="1"/>
  <c r="BF8" i="2"/>
  <c r="BF7" i="2" s="1"/>
  <c r="BG8" i="2"/>
  <c r="BG7" i="2" s="1"/>
  <c r="BI8" i="2"/>
  <c r="BI7" i="2" s="1"/>
  <c r="BJ8" i="2"/>
  <c r="BJ7" i="2" s="1"/>
  <c r="BK8" i="2"/>
  <c r="BK7" i="2" s="1"/>
  <c r="BL8" i="2"/>
  <c r="BL7" i="2" s="1"/>
  <c r="BM8" i="2"/>
  <c r="BM7" i="2" s="1"/>
  <c r="BN8" i="2"/>
  <c r="BN7" i="2" s="1"/>
  <c r="BO8" i="2"/>
  <c r="BO7" i="2" s="1"/>
  <c r="BP8" i="2"/>
  <c r="BP7" i="2" s="1"/>
  <c r="BQ8" i="2"/>
  <c r="BQ7" i="2" s="1"/>
  <c r="BR8" i="2"/>
  <c r="BR7" i="2" s="1"/>
  <c r="BS8" i="2"/>
  <c r="BS7" i="2" s="1"/>
  <c r="BT8" i="2"/>
  <c r="BT7" i="2" s="1"/>
  <c r="BU8" i="2"/>
  <c r="BU7" i="2" s="1"/>
  <c r="BW8" i="2"/>
  <c r="BW7" i="2" s="1"/>
  <c r="BX8" i="2"/>
  <c r="BX7" i="2" s="1"/>
  <c r="BY8" i="2"/>
  <c r="BY7" i="2" s="1"/>
  <c r="BZ8" i="2"/>
  <c r="BZ7" i="2" s="1"/>
  <c r="CA8" i="2"/>
  <c r="CA7" i="2" s="1"/>
  <c r="CB8" i="2"/>
  <c r="CB7" i="2" s="1"/>
  <c r="CC8" i="2"/>
  <c r="CC7" i="2" s="1"/>
  <c r="CD8" i="2"/>
  <c r="CD7" i="2" s="1"/>
  <c r="CE8" i="2"/>
  <c r="CE7" i="2" s="1"/>
  <c r="CF8" i="2"/>
  <c r="CF7" i="2" s="1"/>
  <c r="CG8" i="2"/>
  <c r="CG7" i="2" s="1"/>
  <c r="CH8" i="2"/>
  <c r="CH7" i="2" s="1"/>
  <c r="CI8" i="2"/>
  <c r="CI7" i="2" s="1"/>
  <c r="CK8" i="2"/>
  <c r="CK7" i="2" s="1"/>
  <c r="CL8" i="2"/>
  <c r="CL7" i="2" s="1"/>
  <c r="CM8" i="2"/>
  <c r="CM7" i="2" s="1"/>
  <c r="CN8" i="2"/>
  <c r="CN7" i="2" s="1"/>
  <c r="CO8" i="2"/>
  <c r="CO7" i="2" s="1"/>
  <c r="CP8" i="2"/>
  <c r="CP7" i="2" s="1"/>
  <c r="CQ8" i="2"/>
  <c r="CQ7" i="2" s="1"/>
  <c r="CR8" i="2"/>
  <c r="CR7" i="2" s="1"/>
  <c r="CS8" i="2"/>
  <c r="CS7" i="2" s="1"/>
  <c r="CT8" i="2"/>
  <c r="CT7" i="2" s="1"/>
  <c r="CU8" i="2"/>
  <c r="CU7" i="2" s="1"/>
  <c r="CV8" i="2"/>
  <c r="CV7" i="2" s="1"/>
  <c r="CW8" i="2"/>
  <c r="CW7" i="2" s="1"/>
  <c r="CY8" i="2"/>
  <c r="CY7" i="2" s="1"/>
  <c r="CZ8" i="2"/>
  <c r="CZ7" i="2" s="1"/>
  <c r="DA8" i="2"/>
  <c r="DA7" i="2" s="1"/>
  <c r="DB8" i="2"/>
  <c r="DB7" i="2" s="1"/>
  <c r="DC8" i="2"/>
  <c r="DC7" i="2" s="1"/>
  <c r="DD8" i="2"/>
  <c r="DD7" i="2" s="1"/>
  <c r="DE8" i="2"/>
  <c r="DE7" i="2" s="1"/>
  <c r="DF8" i="2"/>
  <c r="DF7" i="2" s="1"/>
  <c r="DG8" i="2"/>
  <c r="DG7" i="2" s="1"/>
  <c r="DH8" i="2"/>
  <c r="DH7" i="2" s="1"/>
  <c r="DI8" i="2"/>
  <c r="DI7" i="2" s="1"/>
  <c r="DJ8" i="2"/>
  <c r="DJ7" i="2" s="1"/>
  <c r="DK8" i="2"/>
  <c r="DK7" i="2" s="1"/>
  <c r="DM8" i="2"/>
  <c r="DM7" i="2" s="1"/>
  <c r="DN8" i="2"/>
  <c r="DN7" i="2" s="1"/>
  <c r="DO8" i="2"/>
  <c r="DO7" i="2" s="1"/>
  <c r="DP8" i="2"/>
  <c r="DP7" i="2" s="1"/>
  <c r="DQ8" i="2"/>
  <c r="DQ7" i="2" s="1"/>
  <c r="DR8" i="2"/>
  <c r="DR7" i="2" s="1"/>
  <c r="DS8" i="2"/>
  <c r="DS7" i="2" s="1"/>
  <c r="DT8" i="2"/>
  <c r="DT7" i="2" s="1"/>
  <c r="DU8" i="2"/>
  <c r="DU7" i="2" s="1"/>
  <c r="DV8" i="2"/>
  <c r="DV7" i="2" s="1"/>
  <c r="DW8" i="2"/>
  <c r="DW7" i="2" s="1"/>
  <c r="DX8" i="2"/>
  <c r="DX7" i="2" s="1"/>
  <c r="DY8" i="2"/>
  <c r="DY7" i="2" s="1"/>
  <c r="EA8" i="2"/>
  <c r="EA7" i="2" s="1"/>
  <c r="EB8" i="2"/>
  <c r="EB7" i="2" s="1"/>
  <c r="EC8" i="2"/>
  <c r="EC7" i="2" s="1"/>
  <c r="ED8" i="2"/>
  <c r="ED7" i="2" s="1"/>
  <c r="EE8" i="2"/>
  <c r="EE7" i="2" s="1"/>
  <c r="EF8" i="2"/>
  <c r="EF7" i="2" s="1"/>
  <c r="EG8" i="2"/>
  <c r="EG7" i="2" s="1"/>
  <c r="EH8" i="2"/>
  <c r="EH7" i="2" s="1"/>
  <c r="EI8" i="2"/>
  <c r="EI7" i="2" s="1"/>
  <c r="EJ8" i="2"/>
  <c r="EJ7" i="2" s="1"/>
  <c r="EK8" i="2"/>
  <c r="EK7" i="2" s="1"/>
  <c r="EL8" i="2"/>
  <c r="EL7" i="2" s="1"/>
  <c r="EM8" i="2"/>
  <c r="EM7" i="2" s="1"/>
  <c r="S8" i="2"/>
  <c r="S7" i="2" s="1"/>
  <c r="T8" i="2"/>
  <c r="T7" i="2" s="1"/>
  <c r="U8" i="2"/>
  <c r="U7" i="2" s="1"/>
  <c r="V8" i="2"/>
  <c r="V7" i="2" s="1"/>
  <c r="W8" i="2"/>
  <c r="W7" i="2" s="1"/>
  <c r="X8" i="2"/>
  <c r="X7" i="2" s="1"/>
  <c r="Y8" i="2"/>
  <c r="Y7" i="2" s="1"/>
  <c r="Z8" i="2"/>
  <c r="Z7" i="2" s="1"/>
  <c r="AA8" i="2"/>
  <c r="AA7" i="2" s="1"/>
  <c r="AB8" i="2"/>
  <c r="AB7" i="2" s="1"/>
  <c r="AC8" i="2"/>
  <c r="AC7" i="2" s="1"/>
  <c r="AD8" i="2"/>
  <c r="AD7" i="2" s="1"/>
  <c r="AE8" i="2"/>
  <c r="AE7" i="2" s="1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F8" i="2"/>
  <c r="F7" i="2" s="1"/>
  <c r="H8" i="2"/>
  <c r="H7" i="2" s="1"/>
  <c r="J8" i="2"/>
  <c r="J7" i="2" s="1"/>
  <c r="L8" i="2"/>
  <c r="L7" i="2" s="1"/>
  <c r="N8" i="2"/>
  <c r="N7" i="2" s="1"/>
  <c r="P8" i="2"/>
  <c r="P7" i="2" s="1"/>
  <c r="G8" i="2"/>
  <c r="G7" i="2" s="1"/>
  <c r="I8" i="2"/>
  <c r="I7" i="2" s="1"/>
  <c r="K8" i="2"/>
  <c r="K7" i="2" s="1"/>
  <c r="M8" i="2"/>
  <c r="M7" i="2" s="1"/>
  <c r="O8" i="2"/>
  <c r="O7" i="2" s="1"/>
  <c r="E8" i="2"/>
  <c r="E7" i="2" s="1"/>
  <c r="Q30" i="2"/>
  <c r="Q46" i="2" a="1"/>
  <c r="Q46" i="2" s="1"/>
  <c r="Q49" i="2" l="1"/>
  <c r="Q65" i="2" s="1" a="1"/>
  <c r="Q65" i="2" s="1"/>
  <c r="Q8" i="2" s="1"/>
  <c r="Q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<sst xmlns="http://schemas.openxmlformats.org/spreadsheetml/2006/main" count="64" uniqueCount="25">
  <si>
    <t>Settings</t>
  </si>
  <si>
    <t>General</t>
  </si>
  <si>
    <t>Starting Year:</t>
  </si>
  <si>
    <t>Set the starting year (yyyy) once at the beginning and do not change it again</t>
  </si>
  <si>
    <t>Budget Planning</t>
  </si>
  <si>
    <t>Budget Tracking</t>
  </si>
  <si>
    <t>Budget Dashboard</t>
  </si>
  <si>
    <t>Calculations</t>
  </si>
  <si>
    <t>Dropdown Data</t>
  </si>
  <si>
    <t>Income</t>
  </si>
  <si>
    <t>Enter Income Category</t>
  </si>
  <si>
    <t>Total</t>
  </si>
  <si>
    <t>Employment</t>
  </si>
  <si>
    <t>Side Hustle</t>
  </si>
  <si>
    <t>Dividends</t>
  </si>
  <si>
    <t>Expenses</t>
  </si>
  <si>
    <t>Rent</t>
  </si>
  <si>
    <t>F&amp;B</t>
  </si>
  <si>
    <t>Transport</t>
  </si>
  <si>
    <t>Enter Espenses Category</t>
  </si>
  <si>
    <t>Savings</t>
  </si>
  <si>
    <t>Account</t>
  </si>
  <si>
    <t>Mututal Funds</t>
  </si>
  <si>
    <t>Gold</t>
  </si>
  <si>
    <t>To be allocated: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</si>
</sst>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mmm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26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1" xfId="0" applyBorder="1"/>
    <xf numFmtId="0" fontId="3" fillId="0" borderId="0" xfId="0" applyFont="1" applyAlignment="1">
      <alignment horizontal="left" indent="1"/>
    </xf>
    <xf numFmtId="0" fontId="3" fillId="0" borderId="9" xfId="0" applyFont="1" applyBorder="1" applyAlignment="1">
      <alignment horizontal="left" indent="1"/>
    </xf>
    <xf numFmtId="0" fontId="0" fillId="4" borderId="0" xfId="0" applyFill="1" applyAlignment="1">
      <alignment horizontal="center" vertical="center"/>
    </xf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0" borderId="0" xfId="0" applyFont="1" applyAlignment="1">
      <alignment horizontal="left" indent="1"/>
    </xf>
    <xf numFmtId="0" fontId="7" fillId="0" borderId="0" xfId="0" applyFont="1"/>
    <xf numFmtId="43" fontId="7" fillId="0" borderId="9" xfId="1" applyFont="1" applyBorder="1"/>
    <xf numFmtId="43" fontId="0" fillId="0" borderId="9" xfId="1" applyFont="1" applyBorder="1"/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3" fillId="0" borderId="9" xfId="0" applyFont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4"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C00000"/>
      </font>
    </dxf>
    <dxf>
      <font>
        <color theme="9"/>
      </font>
    </dxf>
    <dxf>
      <font>
        <color theme="0" tint="-0.14996795556505021"/>
      </font>
    </dxf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rgb="FFF7CAC9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rgb="FFFF26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4" defaultTableStyle="Income Table style " defaultPivotStyle="PivotStyleLight16">
    <tableStyle name="Expense Table style" pivot="0" count="2" xr9:uid="{FB494EE8-4904-E44A-817C-6343C7BCA273}">
      <tableStyleElement type="wholeTable" dxfId="23"/>
      <tableStyleElement type="headerRow" dxfId="22"/>
    </tableStyle>
    <tableStyle name="Income Table Style" pivot="0" count="0" xr9:uid="{175E69A1-C108-F94E-BFAE-ABD4CF88ADCA}"/>
    <tableStyle name="Income Table style " pivot="0" count="2" xr9:uid="{6E627023-A1A4-5041-8694-08ED5BA125B4}">
      <tableStyleElement type="wholeTable" dxfId="21"/>
      <tableStyleElement type="headerRow" dxfId="20"/>
    </tableStyle>
    <tableStyle name="Savings Table Style" pivot="0" count="2" xr9:uid="{FB01B8E1-C056-A645-888D-550BBB6CAA14}">
      <tableStyleElement type="wholeTable" dxfId="19"/>
      <tableStyleElement type="headerRow" dxfId="18"/>
    </tableStyle>
  </tableStyles>
  <colors>
    <mruColors>
      <color rgb="FFFF2600"/>
      <color rgb="FFF7CAC9"/>
      <color rgb="FFD883FF"/>
      <color rgb="FFFF8AD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5DC81-2095-ED48-A6B4-F634DD5E5308}" name="Income" displayName="Income" ref="C10:C13" totalsRowShown="0" headerRowDxfId="17" dataDxfId="16">
  <autoFilter ref="C10:C13" xr:uid="{1A25DC81-2095-ED48-A6B4-F634DD5E5308}"/>
  <tableColumns count="1">
    <tableColumn id="1" xr3:uid="{049903E9-CD75-9041-83AF-1EDD20B2C25B}" name="Income" dataDxfId="15"/>
  </tableColumns>
  <tableStyleInfo name="Income Table style 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F0C39-1E81-D144-9855-08E832D7A545}" name="Expenses" displayName="Expenses" ref="C29:C32" totalsRowShown="0" headerRowDxfId="14" dataDxfId="13">
  <autoFilter ref="C29:C32" xr:uid="{269F0C39-1E81-D144-9855-08E832D7A545}"/>
  <tableColumns count="1">
    <tableColumn id="1" xr3:uid="{F905B4B0-F9A8-DF45-89C7-9830D72848C9}" name="Expenses" dataDxfId="12"/>
  </tableColumns>
  <tableStyleInfo name="Expense Table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C0361-B2C1-564A-8A40-F774F88ADB73}" name="Savings" displayName="Savings" ref="C48:C51" totalsRowShown="0" headerRowDxfId="11" dataDxfId="10">
  <autoFilter ref="C48:C51" xr:uid="{C15C0361-B2C1-564A-8A40-F774F88ADB73}"/>
  <tableColumns count="1">
    <tableColumn id="1" xr3:uid="{E2FE7058-8A8A-B64B-8880-C206542D003B}" name="Savings" dataDxfId="9"/>
  </tableColumns>
  <tableStyleInfo name="Savings Table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1136-4387-B240-B879-F2AF04533C72}">
  <dimension ref="B1:H9"/>
  <sheetViews>
    <sheetView showGridLines="0" zoomScale="142" workbookViewId="0">
      <selection activeCell="E8" sqref="E8"/>
    </sheetView>
  </sheetViews>
  <sheetFormatPr baseColWidth="10" defaultRowHeight="16" x14ac:dyDescent="0.2"/>
  <cols>
    <col min="1" max="1" width="10.83203125" style="1"/>
    <col min="2" max="3" width="3.83203125" style="1" customWidth="1"/>
    <col min="4" max="5" width="20" style="1" customWidth="1"/>
    <col min="6" max="6" width="3.83203125" style="1" customWidth="1"/>
    <col min="7" max="7" width="50.6640625" style="1" bestFit="1" customWidth="1"/>
    <col min="8" max="8" width="3.83203125" style="1" customWidth="1"/>
    <col min="9" max="16384" width="10.83203125" style="1"/>
  </cols>
  <sheetData>
    <row r="1" spans="2:8" s="7" customFormat="1" ht="10" customHeight="1" x14ac:dyDescent="0.2"/>
    <row r="2" spans="2:8" s="7" customFormat="1" ht="29" x14ac:dyDescent="0.2">
      <c r="B2" s="8" t="s">
        <v>0</v>
      </c>
    </row>
    <row r="3" spans="2:8" s="7" customFormat="1" ht="10" customHeight="1" x14ac:dyDescent="0.2"/>
    <row r="6" spans="2:8" x14ac:dyDescent="0.2">
      <c r="B6" s="29" t="s">
        <v>1</v>
      </c>
      <c r="C6" s="30"/>
      <c r="D6" s="30"/>
      <c r="E6" s="30"/>
      <c r="F6" s="30"/>
      <c r="G6" s="30"/>
      <c r="H6" s="31"/>
    </row>
    <row r="7" spans="2:8" x14ac:dyDescent="0.2">
      <c r="B7" s="2"/>
      <c r="H7" s="3"/>
    </row>
    <row r="8" spans="2:8" x14ac:dyDescent="0.2">
      <c r="B8" s="2"/>
      <c r="D8" s="9" t="s">
        <v>2</v>
      </c>
      <c r="E8" s="14">
        <v>2025</v>
      </c>
      <c r="G8" s="10" t="s">
        <v>3</v>
      </c>
      <c r="H8" s="3"/>
    </row>
    <row r="9" spans="2:8" x14ac:dyDescent="0.2">
      <c r="B9" s="4"/>
      <c r="C9" s="5"/>
      <c r="D9" s="5"/>
      <c r="E9" s="5"/>
      <c r="F9" s="5"/>
      <c r="G9" s="5"/>
      <c r="H9" s="6"/>
    </row>
  </sheetData>
  <mergeCells count="1"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31AD-0F24-AA4D-AB8B-60BC33E38F02}">
  <dimension ref="B1:FA65"/>
  <sheetViews>
    <sheetView showGridLines="0" tabSelected="1" zoomScale="75" workbookViewId="0">
      <pane xSplit="4" topLeftCell="EC1" activePane="topRight" state="frozen"/>
      <selection pane="topRight" activeCell="E1" sqref="E1:FB1048576"/>
    </sheetView>
  </sheetViews>
  <sheetFormatPr baseColWidth="10" defaultRowHeight="16" outlineLevelCol="1" x14ac:dyDescent="0.2"/>
  <cols>
    <col min="1" max="2" width="5.83203125" customWidth="1"/>
    <col min="3" max="3" width="56.83203125" customWidth="1"/>
    <col min="4" max="4" width="3.83203125" customWidth="1"/>
    <col min="5" max="5" width="10.83203125" customWidth="1" outlineLevel="1"/>
    <col min="6" max="6" width="12" customWidth="1" outlineLevel="1"/>
    <col min="7" max="16" width="10.83203125" customWidth="1" outlineLevel="1"/>
    <col min="18" max="18" width="3.83203125" customWidth="1"/>
    <col min="19" max="19" width="10.83203125" outlineLevel="1"/>
    <col min="20" max="20" width="12" customWidth="1" outlineLevel="1"/>
    <col min="21" max="30" width="10.83203125" outlineLevel="1"/>
    <col min="32" max="32" width="3.83203125" customWidth="1"/>
    <col min="33" max="33" width="10.83203125" outlineLevel="1"/>
    <col min="34" max="34" width="12" customWidth="1" outlineLevel="1"/>
    <col min="35" max="44" width="10.83203125" outlineLevel="1"/>
    <col min="46" max="46" width="3.83203125" customWidth="1"/>
    <col min="47" max="47" width="10.83203125" outlineLevel="1"/>
    <col min="48" max="48" width="12" customWidth="1" outlineLevel="1"/>
    <col min="49" max="58" width="10.83203125" outlineLevel="1"/>
    <col min="60" max="60" width="3.83203125" customWidth="1"/>
    <col min="61" max="61" width="10.83203125" outlineLevel="1"/>
    <col min="62" max="62" width="12" customWidth="1" outlineLevel="1"/>
    <col min="63" max="72" width="10.83203125" outlineLevel="1"/>
    <col min="74" max="74" width="3.83203125" customWidth="1"/>
    <col min="75" max="75" width="10.83203125" outlineLevel="1"/>
    <col min="76" max="76" width="12" customWidth="1" outlineLevel="1"/>
    <col min="77" max="86" width="10.83203125" outlineLevel="1"/>
    <col min="88" max="88" width="3.83203125" customWidth="1"/>
    <col min="89" max="89" width="10.83203125" outlineLevel="1"/>
    <col min="90" max="90" width="12" customWidth="1" outlineLevel="1"/>
    <col min="91" max="100" width="10.83203125" outlineLevel="1"/>
    <col min="102" max="102" width="3.83203125" customWidth="1"/>
    <col min="103" max="103" width="10.83203125" outlineLevel="1"/>
    <col min="104" max="104" width="12" customWidth="1" outlineLevel="1"/>
    <col min="105" max="114" width="10.83203125" outlineLevel="1"/>
    <col min="116" max="116" width="3.83203125" customWidth="1"/>
    <col min="117" max="117" width="10.83203125" outlineLevel="1"/>
    <col min="118" max="118" width="12" customWidth="1" outlineLevel="1"/>
    <col min="119" max="128" width="10.83203125" outlineLevel="1"/>
    <col min="130" max="130" width="3.83203125" customWidth="1"/>
    <col min="131" max="131" width="10.83203125" outlineLevel="1"/>
    <col min="132" max="132" width="12" customWidth="1" outlineLevel="1"/>
    <col min="133" max="142" width="10.83203125" outlineLevel="1"/>
    <col min="144" max="144" width="3.83203125" customWidth="1"/>
    <col min="145" max="145" width="10.83203125" outlineLevel="1"/>
    <col min="146" max="146" width="12" customWidth="1" outlineLevel="1"/>
    <col min="147" max="156" width="10.83203125" outlineLevel="1"/>
    <col min="158" max="158" width="3.83203125" customWidth="1"/>
  </cols>
  <sheetData>
    <row r="1" spans="2:157" s="7" customFormat="1" ht="10" customHeight="1" x14ac:dyDescent="0.2"/>
    <row r="2" spans="2:157" s="7" customFormat="1" ht="29" x14ac:dyDescent="0.2">
      <c r="B2" s="8" t="s">
        <v>4</v>
      </c>
    </row>
    <row r="3" spans="2:157" s="7" customFormat="1" ht="10" customHeight="1" x14ac:dyDescent="0.2"/>
    <row r="6" spans="2:157" x14ac:dyDescent="0.2">
      <c r="E6" s="32">
        <f>Starting_year</f>
        <v>2025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/>
      <c r="S6" s="32">
        <f>E6+1</f>
        <v>2026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4"/>
      <c r="AG6" s="32">
        <f t="shared" ref="AG6" si="0">S6+1</f>
        <v>2027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4"/>
      <c r="AU6" s="32">
        <f t="shared" ref="AU6" si="1">AG6+1</f>
        <v>2028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4"/>
      <c r="BI6" s="32">
        <f t="shared" ref="BI6" si="2">AU6+1</f>
        <v>2029</v>
      </c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4"/>
      <c r="BW6" s="32">
        <f t="shared" ref="BW6" si="3">BI6+1</f>
        <v>2030</v>
      </c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4"/>
      <c r="CK6" s="32">
        <f t="shared" ref="CK6" si="4">BW6+1</f>
        <v>2031</v>
      </c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4"/>
      <c r="CY6" s="32">
        <f t="shared" ref="CY6" si="5">CK6+1</f>
        <v>2032</v>
      </c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4"/>
      <c r="DM6" s="32">
        <f t="shared" ref="DM6" si="6">CY6+1</f>
        <v>2033</v>
      </c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4"/>
      <c r="EA6" s="32">
        <f t="shared" ref="EA6" si="7">DM6+1</f>
        <v>2034</v>
      </c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4"/>
      <c r="EO6" s="32">
        <f t="shared" ref="EO6" si="8">EA6+1</f>
        <v>2035</v>
      </c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4"/>
    </row>
    <row r="7" spans="2:157" x14ac:dyDescent="0.2">
      <c r="E7" s="26" t="str">
        <f ca="1">IF(E8=0, "Jan ✓", "Jan")</f>
        <v>Jan ✓</v>
      </c>
      <c r="F7" s="26" t="str">
        <f ca="1">IF(F8=0, "Feb ✓", "Feb")</f>
        <v>Feb ✓</v>
      </c>
      <c r="G7" s="26" t="str">
        <f ca="1">IF(G8=0, "Mar ✓", "Mar")</f>
        <v>Mar ✓</v>
      </c>
      <c r="H7" s="26" t="str">
        <f ca="1">IF(H8=0, "Apr ✓", "Apr")</f>
        <v>Apr ✓</v>
      </c>
      <c r="I7" s="26" t="str">
        <f ca="1">IF(I8=0, "May ✓", "May")</f>
        <v>May ✓</v>
      </c>
      <c r="J7" s="26" t="str">
        <f ca="1">IF(J8=0, "Jun ✓", "Jun")</f>
        <v>Jun ✓</v>
      </c>
      <c r="K7" s="26" t="str">
        <f ca="1">IF(K8=0, "Jul ✓", "Jul")</f>
        <v>Jul ✓</v>
      </c>
      <c r="L7" s="26" t="str">
        <f ca="1">IF(L8=0, "Aug ✓", "Aug")</f>
        <v>Aug ✓</v>
      </c>
      <c r="M7" s="26" t="str">
        <f ca="1">IF(M8=0, "Sep ✓", "Sep")</f>
        <v>Sep ✓</v>
      </c>
      <c r="N7" s="26" t="str">
        <f ca="1">IF(N8=0, "Oct ✓", "Oct")</f>
        <v>Oct ✓</v>
      </c>
      <c r="O7" s="26" t="str">
        <f ca="1">IF(O8=0, "Nov ✓", "Nov")</f>
        <v>Nov ✓</v>
      </c>
      <c r="P7" s="26" t="str">
        <f ca="1">IF(P8=0, "Dec ✓", "Dec'")</f>
        <v>Dec ✓</v>
      </c>
      <c r="Q7" s="26" t="str">
        <f ca="1">IF(Q8=0, "Total ✓", "Total")</f>
        <v>Total ✓</v>
      </c>
      <c r="S7" s="26" t="str">
        <f ca="1">IF(S8=0, "Jan ✓", "Jan")</f>
        <v>Jan ✓</v>
      </c>
      <c r="T7" s="26" t="str">
        <f ca="1">IF(T8=0, "Feb ✓", "Feb")</f>
        <v>Feb ✓</v>
      </c>
      <c r="U7" s="26" t="str">
        <f ca="1">IF(U8=0, "Mar ✓", "Mar")</f>
        <v>Mar ✓</v>
      </c>
      <c r="V7" s="26" t="str">
        <f ca="1">IF(V8=0, "Apr ✓", "Apr")</f>
        <v>Apr ✓</v>
      </c>
      <c r="W7" s="26" t="str">
        <f ca="1">IF(W8=0, "May ✓", "May")</f>
        <v>May ✓</v>
      </c>
      <c r="X7" s="26" t="str">
        <f ca="1">IF(X8=0, "Jun ✓", "Jun")</f>
        <v>Jun ✓</v>
      </c>
      <c r="Y7" s="26" t="str">
        <f ca="1">IF(Y8=0, "Jul ✓", "Jul")</f>
        <v>Jul ✓</v>
      </c>
      <c r="Z7" s="26" t="str">
        <f ca="1">IF(Z8=0, "Aug ✓", "Aug")</f>
        <v>Aug ✓</v>
      </c>
      <c r="AA7" s="26" t="str">
        <f ca="1">IF(AA8=0, "Sep ✓", "Sep")</f>
        <v>Sep ✓</v>
      </c>
      <c r="AB7" s="26" t="str">
        <f ca="1">IF(AB8=0, "Oct ✓", "Oct")</f>
        <v>Oct ✓</v>
      </c>
      <c r="AC7" s="26" t="str">
        <f ca="1">IF(AC8=0, "Nov ✓", "Nov")</f>
        <v>Nov ✓</v>
      </c>
      <c r="AD7" s="26" t="str">
        <f ca="1">IF(AD8=0, "Dec ✓", "Dec'")</f>
        <v>Dec ✓</v>
      </c>
      <c r="AE7" s="26" t="str">
        <f ca="1">IF(AE8=0, "Total ✓", "Total")</f>
        <v>Total ✓</v>
      </c>
      <c r="AG7" s="26" t="str">
        <f t="shared" ref="AG7" ca="1" si="9">IF(AG8=0, "Jan ✓", "Jan")</f>
        <v>Jan ✓</v>
      </c>
      <c r="AH7" s="26" t="str">
        <f t="shared" ref="AH7" ca="1" si="10">IF(AH8=0, "Feb ✓", "Feb")</f>
        <v>Feb ✓</v>
      </c>
      <c r="AI7" s="26" t="str">
        <f t="shared" ref="AI7" ca="1" si="11">IF(AI8=0, "Mar ✓", "Mar")</f>
        <v>Mar ✓</v>
      </c>
      <c r="AJ7" s="26" t="str">
        <f t="shared" ref="AJ7" ca="1" si="12">IF(AJ8=0, "Apr ✓", "Apr")</f>
        <v>Apr ✓</v>
      </c>
      <c r="AK7" s="26" t="str">
        <f t="shared" ref="AK7" ca="1" si="13">IF(AK8=0, "May ✓", "May")</f>
        <v>May ✓</v>
      </c>
      <c r="AL7" s="26" t="str">
        <f t="shared" ref="AL7" ca="1" si="14">IF(AL8=0, "Jun ✓", "Jun")</f>
        <v>Jun ✓</v>
      </c>
      <c r="AM7" s="26" t="str">
        <f t="shared" ref="AM7" ca="1" si="15">IF(AM8=0, "Jul ✓", "Jul")</f>
        <v>Jul ✓</v>
      </c>
      <c r="AN7" s="26" t="str">
        <f t="shared" ref="AN7" ca="1" si="16">IF(AN8=0, "Aug ✓", "Aug")</f>
        <v>Aug ✓</v>
      </c>
      <c r="AO7" s="26" t="str">
        <f t="shared" ref="AO7" ca="1" si="17">IF(AO8=0, "Sep ✓", "Sep")</f>
        <v>Sep ✓</v>
      </c>
      <c r="AP7" s="26" t="str">
        <f t="shared" ref="AP7" ca="1" si="18">IF(AP8=0, "Oct ✓", "Oct")</f>
        <v>Oct ✓</v>
      </c>
      <c r="AQ7" s="26" t="str">
        <f t="shared" ref="AQ7" ca="1" si="19">IF(AQ8=0, "Nov ✓", "Nov")</f>
        <v>Nov ✓</v>
      </c>
      <c r="AR7" s="26" t="str">
        <f t="shared" ref="AR7" ca="1" si="20">IF(AR8=0, "Dec ✓", "Dec'")</f>
        <v>Dec ✓</v>
      </c>
      <c r="AS7" s="26" t="str">
        <f t="shared" ref="AS7" ca="1" si="21">IF(AS8=0, "Total ✓", "Total")</f>
        <v>Total ✓</v>
      </c>
      <c r="AU7" s="26" t="str">
        <f t="shared" ref="AU7" ca="1" si="22">IF(AU8=0, "Jan ✓", "Jan")</f>
        <v>Jan ✓</v>
      </c>
      <c r="AV7" s="26" t="str">
        <f t="shared" ref="AV7" ca="1" si="23">IF(AV8=0, "Feb ✓", "Feb")</f>
        <v>Feb ✓</v>
      </c>
      <c r="AW7" s="26" t="str">
        <f t="shared" ref="AW7" ca="1" si="24">IF(AW8=0, "Mar ✓", "Mar")</f>
        <v>Mar ✓</v>
      </c>
      <c r="AX7" s="26" t="str">
        <f t="shared" ref="AX7" ca="1" si="25">IF(AX8=0, "Apr ✓", "Apr")</f>
        <v>Apr ✓</v>
      </c>
      <c r="AY7" s="26" t="str">
        <f t="shared" ref="AY7" ca="1" si="26">IF(AY8=0, "May ✓", "May")</f>
        <v>May ✓</v>
      </c>
      <c r="AZ7" s="26" t="str">
        <f t="shared" ref="AZ7" ca="1" si="27">IF(AZ8=0, "Jun ✓", "Jun")</f>
        <v>Jun ✓</v>
      </c>
      <c r="BA7" s="26" t="str">
        <f t="shared" ref="BA7" ca="1" si="28">IF(BA8=0, "Jul ✓", "Jul")</f>
        <v>Jul ✓</v>
      </c>
      <c r="BB7" s="26" t="str">
        <f t="shared" ref="BB7" ca="1" si="29">IF(BB8=0, "Aug ✓", "Aug")</f>
        <v>Aug ✓</v>
      </c>
      <c r="BC7" s="26" t="str">
        <f t="shared" ref="BC7" ca="1" si="30">IF(BC8=0, "Sep ✓", "Sep")</f>
        <v>Sep ✓</v>
      </c>
      <c r="BD7" s="26" t="str">
        <f t="shared" ref="BD7" ca="1" si="31">IF(BD8=0, "Oct ✓", "Oct")</f>
        <v>Oct ✓</v>
      </c>
      <c r="BE7" s="26" t="str">
        <f t="shared" ref="BE7" ca="1" si="32">IF(BE8=0, "Nov ✓", "Nov")</f>
        <v>Nov ✓</v>
      </c>
      <c r="BF7" s="26" t="str">
        <f t="shared" ref="BF7" ca="1" si="33">IF(BF8=0, "Dec ✓", "Dec'")</f>
        <v>Dec ✓</v>
      </c>
      <c r="BG7" s="26" t="str">
        <f t="shared" ref="BG7" ca="1" si="34">IF(BG8=0, "Total ✓", "Total")</f>
        <v>Total ✓</v>
      </c>
      <c r="BI7" s="26" t="str">
        <f t="shared" ref="BI7" ca="1" si="35">IF(BI8=0, "Jan ✓", "Jan")</f>
        <v>Jan ✓</v>
      </c>
      <c r="BJ7" s="26" t="str">
        <f t="shared" ref="BJ7" ca="1" si="36">IF(BJ8=0, "Feb ✓", "Feb")</f>
        <v>Feb ✓</v>
      </c>
      <c r="BK7" s="26" t="str">
        <f t="shared" ref="BK7" ca="1" si="37">IF(BK8=0, "Mar ✓", "Mar")</f>
        <v>Mar ✓</v>
      </c>
      <c r="BL7" s="26" t="str">
        <f t="shared" ref="BL7" ca="1" si="38">IF(BL8=0, "Apr ✓", "Apr")</f>
        <v>Apr ✓</v>
      </c>
      <c r="BM7" s="26" t="str">
        <f t="shared" ref="BM7" ca="1" si="39">IF(BM8=0, "May ✓", "May")</f>
        <v>May ✓</v>
      </c>
      <c r="BN7" s="26" t="str">
        <f t="shared" ref="BN7" ca="1" si="40">IF(BN8=0, "Jun ✓", "Jun")</f>
        <v>Jun ✓</v>
      </c>
      <c r="BO7" s="26" t="str">
        <f t="shared" ref="BO7" ca="1" si="41">IF(BO8=0, "Jul ✓", "Jul")</f>
        <v>Jul ✓</v>
      </c>
      <c r="BP7" s="26" t="str">
        <f t="shared" ref="BP7" ca="1" si="42">IF(BP8=0, "Aug ✓", "Aug")</f>
        <v>Aug ✓</v>
      </c>
      <c r="BQ7" s="26" t="str">
        <f t="shared" ref="BQ7" ca="1" si="43">IF(BQ8=0, "Sep ✓", "Sep")</f>
        <v>Sep ✓</v>
      </c>
      <c r="BR7" s="26" t="str">
        <f t="shared" ref="BR7" ca="1" si="44">IF(BR8=0, "Oct ✓", "Oct")</f>
        <v>Oct ✓</v>
      </c>
      <c r="BS7" s="26" t="str">
        <f t="shared" ref="BS7" ca="1" si="45">IF(BS8=0, "Nov ✓", "Nov")</f>
        <v>Nov ✓</v>
      </c>
      <c r="BT7" s="26" t="str">
        <f t="shared" ref="BT7" ca="1" si="46">IF(BT8=0, "Dec ✓", "Dec'")</f>
        <v>Dec ✓</v>
      </c>
      <c r="BU7" s="26" t="str">
        <f t="shared" ref="BU7" ca="1" si="47">IF(BU8=0, "Total ✓", "Total")</f>
        <v>Total ✓</v>
      </c>
      <c r="BW7" s="26" t="str">
        <f t="shared" ref="BW7" ca="1" si="48">IF(BW8=0, "Jan ✓", "Jan")</f>
        <v>Jan ✓</v>
      </c>
      <c r="BX7" s="26" t="str">
        <f t="shared" ref="BX7" ca="1" si="49">IF(BX8=0, "Feb ✓", "Feb")</f>
        <v>Feb ✓</v>
      </c>
      <c r="BY7" s="26" t="str">
        <f t="shared" ref="BY7" ca="1" si="50">IF(BY8=0, "Mar ✓", "Mar")</f>
        <v>Mar ✓</v>
      </c>
      <c r="BZ7" s="26" t="str">
        <f t="shared" ref="BZ7" ca="1" si="51">IF(BZ8=0, "Apr ✓", "Apr")</f>
        <v>Apr ✓</v>
      </c>
      <c r="CA7" s="26" t="str">
        <f t="shared" ref="CA7" ca="1" si="52">IF(CA8=0, "May ✓", "May")</f>
        <v>May ✓</v>
      </c>
      <c r="CB7" s="26" t="str">
        <f t="shared" ref="CB7" ca="1" si="53">IF(CB8=0, "Jun ✓", "Jun")</f>
        <v>Jun ✓</v>
      </c>
      <c r="CC7" s="26" t="str">
        <f t="shared" ref="CC7" ca="1" si="54">IF(CC8=0, "Jul ✓", "Jul")</f>
        <v>Jul ✓</v>
      </c>
      <c r="CD7" s="26" t="str">
        <f t="shared" ref="CD7" ca="1" si="55">IF(CD8=0, "Aug ✓", "Aug")</f>
        <v>Aug ✓</v>
      </c>
      <c r="CE7" s="26" t="str">
        <f t="shared" ref="CE7" ca="1" si="56">IF(CE8=0, "Sep ✓", "Sep")</f>
        <v>Sep ✓</v>
      </c>
      <c r="CF7" s="26" t="str">
        <f t="shared" ref="CF7" ca="1" si="57">IF(CF8=0, "Oct ✓", "Oct")</f>
        <v>Oct ✓</v>
      </c>
      <c r="CG7" s="26" t="str">
        <f t="shared" ref="CG7" ca="1" si="58">IF(CG8=0, "Nov ✓", "Nov")</f>
        <v>Nov ✓</v>
      </c>
      <c r="CH7" s="26" t="str">
        <f t="shared" ref="CH7" ca="1" si="59">IF(CH8=0, "Dec ✓", "Dec'")</f>
        <v>Dec ✓</v>
      </c>
      <c r="CI7" s="26" t="str">
        <f t="shared" ref="CI7" ca="1" si="60">IF(CI8=0, "Total ✓", "Total")</f>
        <v>Total ✓</v>
      </c>
      <c r="CK7" s="26" t="str">
        <f t="shared" ref="CK7" ca="1" si="61">IF(CK8=0, "Jan ✓", "Jan")</f>
        <v>Jan ✓</v>
      </c>
      <c r="CL7" s="26" t="str">
        <f t="shared" ref="CL7" ca="1" si="62">IF(CL8=0, "Feb ✓", "Feb")</f>
        <v>Feb ✓</v>
      </c>
      <c r="CM7" s="26" t="str">
        <f t="shared" ref="CM7" ca="1" si="63">IF(CM8=0, "Mar ✓", "Mar")</f>
        <v>Mar ✓</v>
      </c>
      <c r="CN7" s="26" t="str">
        <f t="shared" ref="CN7" ca="1" si="64">IF(CN8=0, "Apr ✓", "Apr")</f>
        <v>Apr ✓</v>
      </c>
      <c r="CO7" s="26" t="str">
        <f t="shared" ref="CO7" ca="1" si="65">IF(CO8=0, "May ✓", "May")</f>
        <v>May ✓</v>
      </c>
      <c r="CP7" s="26" t="str">
        <f t="shared" ref="CP7" ca="1" si="66">IF(CP8=0, "Jun ✓", "Jun")</f>
        <v>Jun ✓</v>
      </c>
      <c r="CQ7" s="26" t="str">
        <f t="shared" ref="CQ7" ca="1" si="67">IF(CQ8=0, "Jul ✓", "Jul")</f>
        <v>Jul ✓</v>
      </c>
      <c r="CR7" s="26" t="str">
        <f t="shared" ref="CR7" ca="1" si="68">IF(CR8=0, "Aug ✓", "Aug")</f>
        <v>Aug ✓</v>
      </c>
      <c r="CS7" s="26" t="str">
        <f t="shared" ref="CS7" ca="1" si="69">IF(CS8=0, "Sep ✓", "Sep")</f>
        <v>Sep ✓</v>
      </c>
      <c r="CT7" s="26" t="str">
        <f t="shared" ref="CT7" ca="1" si="70">IF(CT8=0, "Oct ✓", "Oct")</f>
        <v>Oct ✓</v>
      </c>
      <c r="CU7" s="26" t="str">
        <f t="shared" ref="CU7" ca="1" si="71">IF(CU8=0, "Nov ✓", "Nov")</f>
        <v>Nov ✓</v>
      </c>
      <c r="CV7" s="26" t="str">
        <f t="shared" ref="CV7" ca="1" si="72">IF(CV8=0, "Dec ✓", "Dec'")</f>
        <v>Dec ✓</v>
      </c>
      <c r="CW7" s="26" t="str">
        <f t="shared" ref="CW7" ca="1" si="73">IF(CW8=0, "Total ✓", "Total")</f>
        <v>Total ✓</v>
      </c>
      <c r="CY7" s="26" t="str">
        <f t="shared" ref="CY7" ca="1" si="74">IF(CY8=0, "Jan ✓", "Jan")</f>
        <v>Jan ✓</v>
      </c>
      <c r="CZ7" s="26" t="str">
        <f t="shared" ref="CZ7" ca="1" si="75">IF(CZ8=0, "Feb ✓", "Feb")</f>
        <v>Feb ✓</v>
      </c>
      <c r="DA7" s="26" t="str">
        <f t="shared" ref="DA7" ca="1" si="76">IF(DA8=0, "Mar ✓", "Mar")</f>
        <v>Mar ✓</v>
      </c>
      <c r="DB7" s="26" t="str">
        <f t="shared" ref="DB7" ca="1" si="77">IF(DB8=0, "Apr ✓", "Apr")</f>
        <v>Apr ✓</v>
      </c>
      <c r="DC7" s="26" t="str">
        <f t="shared" ref="DC7" ca="1" si="78">IF(DC8=0, "May ✓", "May")</f>
        <v>May ✓</v>
      </c>
      <c r="DD7" s="26" t="str">
        <f t="shared" ref="DD7" ca="1" si="79">IF(DD8=0, "Jun ✓", "Jun")</f>
        <v>Jun ✓</v>
      </c>
      <c r="DE7" s="26" t="str">
        <f t="shared" ref="DE7" ca="1" si="80">IF(DE8=0, "Jul ✓", "Jul")</f>
        <v>Jul ✓</v>
      </c>
      <c r="DF7" s="26" t="str">
        <f t="shared" ref="DF7" ca="1" si="81">IF(DF8=0, "Aug ✓", "Aug")</f>
        <v>Aug ✓</v>
      </c>
      <c r="DG7" s="26" t="str">
        <f t="shared" ref="DG7" ca="1" si="82">IF(DG8=0, "Sep ✓", "Sep")</f>
        <v>Sep ✓</v>
      </c>
      <c r="DH7" s="26" t="str">
        <f t="shared" ref="DH7" ca="1" si="83">IF(DH8=0, "Oct ✓", "Oct")</f>
        <v>Oct ✓</v>
      </c>
      <c r="DI7" s="26" t="str">
        <f t="shared" ref="DI7" ca="1" si="84">IF(DI8=0, "Nov ✓", "Nov")</f>
        <v>Nov ✓</v>
      </c>
      <c r="DJ7" s="26" t="str">
        <f t="shared" ref="DJ7" ca="1" si="85">IF(DJ8=0, "Dec ✓", "Dec'")</f>
        <v>Dec ✓</v>
      </c>
      <c r="DK7" s="26" t="str">
        <f t="shared" ref="DK7" ca="1" si="86">IF(DK8=0, "Total ✓", "Total")</f>
        <v>Total ✓</v>
      </c>
      <c r="DM7" s="26" t="str">
        <f t="shared" ref="DM7" ca="1" si="87">IF(DM8=0, "Jan ✓", "Jan")</f>
        <v>Jan ✓</v>
      </c>
      <c r="DN7" s="26" t="str">
        <f t="shared" ref="DN7" ca="1" si="88">IF(DN8=0, "Feb ✓", "Feb")</f>
        <v>Feb ✓</v>
      </c>
      <c r="DO7" s="26" t="str">
        <f t="shared" ref="DO7" ca="1" si="89">IF(DO8=0, "Mar ✓", "Mar")</f>
        <v>Mar ✓</v>
      </c>
      <c r="DP7" s="26" t="str">
        <f t="shared" ref="DP7" ca="1" si="90">IF(DP8=0, "Apr ✓", "Apr")</f>
        <v>Apr ✓</v>
      </c>
      <c r="DQ7" s="26" t="str">
        <f t="shared" ref="DQ7" ca="1" si="91">IF(DQ8=0, "May ✓", "May")</f>
        <v>May ✓</v>
      </c>
      <c r="DR7" s="26" t="str">
        <f t="shared" ref="DR7" ca="1" si="92">IF(DR8=0, "Jun ✓", "Jun")</f>
        <v>Jun ✓</v>
      </c>
      <c r="DS7" s="26" t="str">
        <f t="shared" ref="DS7" ca="1" si="93">IF(DS8=0, "Jul ✓", "Jul")</f>
        <v>Jul ✓</v>
      </c>
      <c r="DT7" s="26" t="str">
        <f t="shared" ref="DT7" ca="1" si="94">IF(DT8=0, "Aug ✓", "Aug")</f>
        <v>Aug ✓</v>
      </c>
      <c r="DU7" s="26" t="str">
        <f t="shared" ref="DU7" ca="1" si="95">IF(DU8=0, "Sep ✓", "Sep")</f>
        <v>Sep ✓</v>
      </c>
      <c r="DV7" s="26" t="str">
        <f t="shared" ref="DV7" ca="1" si="96">IF(DV8=0, "Oct ✓", "Oct")</f>
        <v>Oct ✓</v>
      </c>
      <c r="DW7" s="26" t="str">
        <f t="shared" ref="DW7" ca="1" si="97">IF(DW8=0, "Nov ✓", "Nov")</f>
        <v>Nov ✓</v>
      </c>
      <c r="DX7" s="26" t="str">
        <f t="shared" ref="DX7" ca="1" si="98">IF(DX8=0, "Dec ✓", "Dec'")</f>
        <v>Dec ✓</v>
      </c>
      <c r="DY7" s="26" t="str">
        <f t="shared" ref="DY7" ca="1" si="99">IF(DY8=0, "Total ✓", "Total")</f>
        <v>Total ✓</v>
      </c>
      <c r="EA7" s="26" t="str">
        <f t="shared" ref="EA7" ca="1" si="100">IF(EA8=0, "Jan ✓", "Jan")</f>
        <v>Jan ✓</v>
      </c>
      <c r="EB7" s="26" t="str">
        <f t="shared" ref="EB7" ca="1" si="101">IF(EB8=0, "Feb ✓", "Feb")</f>
        <v>Feb ✓</v>
      </c>
      <c r="EC7" s="26" t="str">
        <f t="shared" ref="EC7" ca="1" si="102">IF(EC8=0, "Mar ✓", "Mar")</f>
        <v>Mar ✓</v>
      </c>
      <c r="ED7" s="26" t="str">
        <f t="shared" ref="ED7" ca="1" si="103">IF(ED8=0, "Apr ✓", "Apr")</f>
        <v>Apr ✓</v>
      </c>
      <c r="EE7" s="26" t="str">
        <f t="shared" ref="EE7" ca="1" si="104">IF(EE8=0, "May ✓", "May")</f>
        <v>May ✓</v>
      </c>
      <c r="EF7" s="26" t="str">
        <f t="shared" ref="EF7" ca="1" si="105">IF(EF8=0, "Jun ✓", "Jun")</f>
        <v>Jun ✓</v>
      </c>
      <c r="EG7" s="26" t="str">
        <f t="shared" ref="EG7" ca="1" si="106">IF(EG8=0, "Jul ✓", "Jul")</f>
        <v>Jul ✓</v>
      </c>
      <c r="EH7" s="26" t="str">
        <f t="shared" ref="EH7" ca="1" si="107">IF(EH8=0, "Aug ✓", "Aug")</f>
        <v>Aug ✓</v>
      </c>
      <c r="EI7" s="26" t="str">
        <f t="shared" ref="EI7" ca="1" si="108">IF(EI8=0, "Sep ✓", "Sep")</f>
        <v>Sep ✓</v>
      </c>
      <c r="EJ7" s="26" t="str">
        <f t="shared" ref="EJ7" ca="1" si="109">IF(EJ8=0, "Oct ✓", "Oct")</f>
        <v>Oct ✓</v>
      </c>
      <c r="EK7" s="26" t="str">
        <f t="shared" ref="EK7" ca="1" si="110">IF(EK8=0, "Nov ✓", "Nov")</f>
        <v>Nov ✓</v>
      </c>
      <c r="EL7" s="26" t="str">
        <f t="shared" ref="EL7" ca="1" si="111">IF(EL8=0, "Dec ✓", "Dec'")</f>
        <v>Dec ✓</v>
      </c>
      <c r="EM7" s="26" t="str">
        <f t="shared" ref="EM7" ca="1" si="112">IF(EM8=0, "Total ✓", "Total")</f>
        <v>Total ✓</v>
      </c>
      <c r="EO7" s="26" t="str">
        <f t="shared" ref="EO7" ca="1" si="113">IF(EO8=0, "Jan ✓", "Jan")</f>
        <v>Jan ✓</v>
      </c>
      <c r="EP7" s="26" t="str">
        <f t="shared" ref="EP7" ca="1" si="114">IF(EP8=0, "Feb ✓", "Feb")</f>
        <v>Feb ✓</v>
      </c>
      <c r="EQ7" s="26" t="str">
        <f t="shared" ref="EQ7" ca="1" si="115">IF(EQ8=0, "Mar ✓", "Mar")</f>
        <v>Mar ✓</v>
      </c>
      <c r="ER7" s="26" t="str">
        <f t="shared" ref="ER7" ca="1" si="116">IF(ER8=0, "Apr ✓", "Apr")</f>
        <v>Apr ✓</v>
      </c>
      <c r="ES7" s="26" t="str">
        <f t="shared" ref="ES7" ca="1" si="117">IF(ES8=0, "May ✓", "May")</f>
        <v>May ✓</v>
      </c>
      <c r="ET7" s="26" t="str">
        <f t="shared" ref="ET7" ca="1" si="118">IF(ET8=0, "Jun ✓", "Jun")</f>
        <v>Jun ✓</v>
      </c>
      <c r="EU7" s="26" t="str">
        <f t="shared" ref="EU7" ca="1" si="119">IF(EU8=0, "Jul ✓", "Jul")</f>
        <v>Jul ✓</v>
      </c>
      <c r="EV7" s="26" t="str">
        <f t="shared" ref="EV7" ca="1" si="120">IF(EV8=0, "Aug ✓", "Aug")</f>
        <v>Aug ✓</v>
      </c>
      <c r="EW7" s="26" t="str">
        <f t="shared" ref="EW7" ca="1" si="121">IF(EW8=0, "Sep ✓", "Sep")</f>
        <v>Sep ✓</v>
      </c>
      <c r="EX7" s="26" t="str">
        <f t="shared" ref="EX7" ca="1" si="122">IF(EX8=0, "Oct ✓", "Oct")</f>
        <v>Oct ✓</v>
      </c>
      <c r="EY7" s="26" t="str">
        <f t="shared" ref="EY7" ca="1" si="123">IF(EY8=0, "Nov ✓", "Nov")</f>
        <v>Nov ✓</v>
      </c>
      <c r="EZ7" s="26" t="str">
        <f t="shared" ref="EZ7" ca="1" si="124">IF(EZ8=0, "Dec ✓", "Dec'")</f>
        <v>Dec ✓</v>
      </c>
      <c r="FA7" s="26" t="str">
        <f t="shared" ref="FA7" ca="1" si="125">IF(FA8=0, "Total ✓", "Total")</f>
        <v>Total ✓</v>
      </c>
    </row>
    <row r="8" spans="2:157" x14ac:dyDescent="0.2">
      <c r="C8" s="25" t="s">
        <v>24</v>
      </c>
      <c r="E8" s="27">
        <f ca="1">E27-(E46+E65)</f>
        <v>0</v>
      </c>
      <c r="F8" s="27">
        <f t="shared" ref="F8:Q8" ca="1" si="126">F27-(F46+F65)</f>
        <v>0</v>
      </c>
      <c r="G8" s="27">
        <f t="shared" ca="1" si="126"/>
        <v>0</v>
      </c>
      <c r="H8" s="27">
        <f t="shared" ca="1" si="126"/>
        <v>0</v>
      </c>
      <c r="I8" s="27">
        <f t="shared" ca="1" si="126"/>
        <v>0</v>
      </c>
      <c r="J8" s="27">
        <f t="shared" ca="1" si="126"/>
        <v>0</v>
      </c>
      <c r="K8" s="27">
        <f t="shared" ca="1" si="126"/>
        <v>0</v>
      </c>
      <c r="L8" s="27">
        <f t="shared" ca="1" si="126"/>
        <v>0</v>
      </c>
      <c r="M8" s="27">
        <f t="shared" ca="1" si="126"/>
        <v>0</v>
      </c>
      <c r="N8" s="27">
        <f t="shared" ca="1" si="126"/>
        <v>0</v>
      </c>
      <c r="O8" s="27">
        <f t="shared" ca="1" si="126"/>
        <v>0</v>
      </c>
      <c r="P8" s="27">
        <f t="shared" ca="1" si="126"/>
        <v>0</v>
      </c>
      <c r="Q8" s="28">
        <f t="shared" ca="1" si="126"/>
        <v>0</v>
      </c>
      <c r="S8" s="27">
        <f ca="1">S27-(S46+S65)</f>
        <v>0</v>
      </c>
      <c r="T8" s="27">
        <f t="shared" ref="T8:AE8" ca="1" si="127">T27-(T46+T65)</f>
        <v>0</v>
      </c>
      <c r="U8" s="27">
        <f t="shared" ca="1" si="127"/>
        <v>0</v>
      </c>
      <c r="V8" s="27">
        <f t="shared" ca="1" si="127"/>
        <v>0</v>
      </c>
      <c r="W8" s="27">
        <f t="shared" ca="1" si="127"/>
        <v>0</v>
      </c>
      <c r="X8" s="27">
        <f t="shared" ca="1" si="127"/>
        <v>0</v>
      </c>
      <c r="Y8" s="27">
        <f t="shared" ca="1" si="127"/>
        <v>0</v>
      </c>
      <c r="Z8" s="27">
        <f t="shared" ca="1" si="127"/>
        <v>0</v>
      </c>
      <c r="AA8" s="27">
        <f t="shared" ca="1" si="127"/>
        <v>0</v>
      </c>
      <c r="AB8" s="27">
        <f t="shared" ca="1" si="127"/>
        <v>0</v>
      </c>
      <c r="AC8" s="27">
        <f t="shared" ca="1" si="127"/>
        <v>0</v>
      </c>
      <c r="AD8" s="27">
        <f t="shared" ca="1" si="127"/>
        <v>0</v>
      </c>
      <c r="AE8" s="28">
        <f t="shared" ca="1" si="127"/>
        <v>0</v>
      </c>
      <c r="AG8" s="27">
        <f t="shared" ref="AG8:AS8" ca="1" si="128">AG27-(AG46+AG65)</f>
        <v>0</v>
      </c>
      <c r="AH8" s="27">
        <f t="shared" ca="1" si="128"/>
        <v>0</v>
      </c>
      <c r="AI8" s="27">
        <f t="shared" ca="1" si="128"/>
        <v>0</v>
      </c>
      <c r="AJ8" s="27">
        <f t="shared" ca="1" si="128"/>
        <v>0</v>
      </c>
      <c r="AK8" s="27">
        <f t="shared" ca="1" si="128"/>
        <v>0</v>
      </c>
      <c r="AL8" s="27">
        <f t="shared" ca="1" si="128"/>
        <v>0</v>
      </c>
      <c r="AM8" s="27">
        <f t="shared" ca="1" si="128"/>
        <v>0</v>
      </c>
      <c r="AN8" s="27">
        <f t="shared" ca="1" si="128"/>
        <v>0</v>
      </c>
      <c r="AO8" s="27">
        <f t="shared" ca="1" si="128"/>
        <v>0</v>
      </c>
      <c r="AP8" s="27">
        <f t="shared" ca="1" si="128"/>
        <v>0</v>
      </c>
      <c r="AQ8" s="27">
        <f t="shared" ca="1" si="128"/>
        <v>0</v>
      </c>
      <c r="AR8" s="27">
        <f t="shared" ca="1" si="128"/>
        <v>0</v>
      </c>
      <c r="AS8" s="28">
        <f t="shared" ca="1" si="128"/>
        <v>0</v>
      </c>
      <c r="AU8" s="27">
        <f t="shared" ref="AU8:BG8" ca="1" si="129">AU27-(AU46+AU65)</f>
        <v>0</v>
      </c>
      <c r="AV8" s="27">
        <f t="shared" ca="1" si="129"/>
        <v>0</v>
      </c>
      <c r="AW8" s="27">
        <f t="shared" ca="1" si="129"/>
        <v>0</v>
      </c>
      <c r="AX8" s="27">
        <f t="shared" ca="1" si="129"/>
        <v>0</v>
      </c>
      <c r="AY8" s="27">
        <f t="shared" ca="1" si="129"/>
        <v>0</v>
      </c>
      <c r="AZ8" s="27">
        <f t="shared" ca="1" si="129"/>
        <v>0</v>
      </c>
      <c r="BA8" s="27">
        <f t="shared" ca="1" si="129"/>
        <v>0</v>
      </c>
      <c r="BB8" s="27">
        <f t="shared" ca="1" si="129"/>
        <v>0</v>
      </c>
      <c r="BC8" s="27">
        <f t="shared" ca="1" si="129"/>
        <v>0</v>
      </c>
      <c r="BD8" s="27">
        <f t="shared" ca="1" si="129"/>
        <v>0</v>
      </c>
      <c r="BE8" s="27">
        <f t="shared" ca="1" si="129"/>
        <v>0</v>
      </c>
      <c r="BF8" s="27">
        <f t="shared" ca="1" si="129"/>
        <v>0</v>
      </c>
      <c r="BG8" s="28">
        <f t="shared" ca="1" si="129"/>
        <v>0</v>
      </c>
      <c r="BI8" s="27">
        <f t="shared" ref="BI8:BU8" ca="1" si="130">BI27-(BI46+BI65)</f>
        <v>0</v>
      </c>
      <c r="BJ8" s="27">
        <f t="shared" ca="1" si="130"/>
        <v>0</v>
      </c>
      <c r="BK8" s="27">
        <f t="shared" ca="1" si="130"/>
        <v>0</v>
      </c>
      <c r="BL8" s="27">
        <f t="shared" ca="1" si="130"/>
        <v>0</v>
      </c>
      <c r="BM8" s="27">
        <f t="shared" ca="1" si="130"/>
        <v>0</v>
      </c>
      <c r="BN8" s="27">
        <f t="shared" ca="1" si="130"/>
        <v>0</v>
      </c>
      <c r="BO8" s="27">
        <f t="shared" ca="1" si="130"/>
        <v>0</v>
      </c>
      <c r="BP8" s="27">
        <f t="shared" ca="1" si="130"/>
        <v>0</v>
      </c>
      <c r="BQ8" s="27">
        <f t="shared" ca="1" si="130"/>
        <v>0</v>
      </c>
      <c r="BR8" s="27">
        <f t="shared" ca="1" si="130"/>
        <v>0</v>
      </c>
      <c r="BS8" s="27">
        <f t="shared" ca="1" si="130"/>
        <v>0</v>
      </c>
      <c r="BT8" s="27">
        <f t="shared" ca="1" si="130"/>
        <v>0</v>
      </c>
      <c r="BU8" s="28">
        <f t="shared" ca="1" si="130"/>
        <v>0</v>
      </c>
      <c r="BW8" s="27">
        <f t="shared" ref="BW8:CI8" ca="1" si="131">BW27-(BW46+BW65)</f>
        <v>0</v>
      </c>
      <c r="BX8" s="27">
        <f t="shared" ca="1" si="131"/>
        <v>0</v>
      </c>
      <c r="BY8" s="27">
        <f t="shared" ca="1" si="131"/>
        <v>0</v>
      </c>
      <c r="BZ8" s="27">
        <f t="shared" ca="1" si="131"/>
        <v>0</v>
      </c>
      <c r="CA8" s="27">
        <f t="shared" ca="1" si="131"/>
        <v>0</v>
      </c>
      <c r="CB8" s="27">
        <f t="shared" ca="1" si="131"/>
        <v>0</v>
      </c>
      <c r="CC8" s="27">
        <f t="shared" ca="1" si="131"/>
        <v>0</v>
      </c>
      <c r="CD8" s="27">
        <f t="shared" ca="1" si="131"/>
        <v>0</v>
      </c>
      <c r="CE8" s="27">
        <f t="shared" ca="1" si="131"/>
        <v>0</v>
      </c>
      <c r="CF8" s="27">
        <f t="shared" ca="1" si="131"/>
        <v>0</v>
      </c>
      <c r="CG8" s="27">
        <f t="shared" ca="1" si="131"/>
        <v>0</v>
      </c>
      <c r="CH8" s="27">
        <f t="shared" ca="1" si="131"/>
        <v>0</v>
      </c>
      <c r="CI8" s="28">
        <f t="shared" ca="1" si="131"/>
        <v>0</v>
      </c>
      <c r="CK8" s="27">
        <f t="shared" ref="CK8:CW8" ca="1" si="132">CK27-(CK46+CK65)</f>
        <v>0</v>
      </c>
      <c r="CL8" s="27">
        <f t="shared" ca="1" si="132"/>
        <v>0</v>
      </c>
      <c r="CM8" s="27">
        <f t="shared" ca="1" si="132"/>
        <v>0</v>
      </c>
      <c r="CN8" s="27">
        <f t="shared" ca="1" si="132"/>
        <v>0</v>
      </c>
      <c r="CO8" s="27">
        <f t="shared" ca="1" si="132"/>
        <v>0</v>
      </c>
      <c r="CP8" s="27">
        <f t="shared" ca="1" si="132"/>
        <v>0</v>
      </c>
      <c r="CQ8" s="27">
        <f t="shared" ca="1" si="132"/>
        <v>0</v>
      </c>
      <c r="CR8" s="27">
        <f t="shared" ca="1" si="132"/>
        <v>0</v>
      </c>
      <c r="CS8" s="27">
        <f t="shared" ca="1" si="132"/>
        <v>0</v>
      </c>
      <c r="CT8" s="27">
        <f t="shared" ca="1" si="132"/>
        <v>0</v>
      </c>
      <c r="CU8" s="27">
        <f t="shared" ca="1" si="132"/>
        <v>0</v>
      </c>
      <c r="CV8" s="27">
        <f t="shared" ca="1" si="132"/>
        <v>0</v>
      </c>
      <c r="CW8" s="28">
        <f t="shared" ca="1" si="132"/>
        <v>0</v>
      </c>
      <c r="CY8" s="27">
        <f t="shared" ref="CY8:DK8" ca="1" si="133">CY27-(CY46+CY65)</f>
        <v>0</v>
      </c>
      <c r="CZ8" s="27">
        <f t="shared" ca="1" si="133"/>
        <v>0</v>
      </c>
      <c r="DA8" s="27">
        <f t="shared" ca="1" si="133"/>
        <v>0</v>
      </c>
      <c r="DB8" s="27">
        <f t="shared" ca="1" si="133"/>
        <v>0</v>
      </c>
      <c r="DC8" s="27">
        <f t="shared" ca="1" si="133"/>
        <v>0</v>
      </c>
      <c r="DD8" s="27">
        <f t="shared" ca="1" si="133"/>
        <v>0</v>
      </c>
      <c r="DE8" s="27">
        <f t="shared" ca="1" si="133"/>
        <v>0</v>
      </c>
      <c r="DF8" s="27">
        <f t="shared" ca="1" si="133"/>
        <v>0</v>
      </c>
      <c r="DG8" s="27">
        <f t="shared" ca="1" si="133"/>
        <v>0</v>
      </c>
      <c r="DH8" s="27">
        <f t="shared" ca="1" si="133"/>
        <v>0</v>
      </c>
      <c r="DI8" s="27">
        <f t="shared" ca="1" si="133"/>
        <v>0</v>
      </c>
      <c r="DJ8" s="27">
        <f t="shared" ca="1" si="133"/>
        <v>0</v>
      </c>
      <c r="DK8" s="28">
        <f t="shared" ca="1" si="133"/>
        <v>0</v>
      </c>
      <c r="DM8" s="27">
        <f t="shared" ref="DM8:DY8" ca="1" si="134">DM27-(DM46+DM65)</f>
        <v>0</v>
      </c>
      <c r="DN8" s="27">
        <f t="shared" ca="1" si="134"/>
        <v>0</v>
      </c>
      <c r="DO8" s="27">
        <f t="shared" ca="1" si="134"/>
        <v>0</v>
      </c>
      <c r="DP8" s="27">
        <f t="shared" ca="1" si="134"/>
        <v>0</v>
      </c>
      <c r="DQ8" s="27">
        <f t="shared" ca="1" si="134"/>
        <v>0</v>
      </c>
      <c r="DR8" s="27">
        <f t="shared" ca="1" si="134"/>
        <v>0</v>
      </c>
      <c r="DS8" s="27">
        <f t="shared" ca="1" si="134"/>
        <v>0</v>
      </c>
      <c r="DT8" s="27">
        <f t="shared" ca="1" si="134"/>
        <v>0</v>
      </c>
      <c r="DU8" s="27">
        <f t="shared" ca="1" si="134"/>
        <v>0</v>
      </c>
      <c r="DV8" s="27">
        <f t="shared" ca="1" si="134"/>
        <v>0</v>
      </c>
      <c r="DW8" s="27">
        <f t="shared" ca="1" si="134"/>
        <v>0</v>
      </c>
      <c r="DX8" s="27">
        <f t="shared" ca="1" si="134"/>
        <v>0</v>
      </c>
      <c r="DY8" s="28">
        <f t="shared" ca="1" si="134"/>
        <v>0</v>
      </c>
      <c r="EA8" s="27">
        <f t="shared" ref="EA8:EM8" ca="1" si="135">EA27-(EA46+EA65)</f>
        <v>0</v>
      </c>
      <c r="EB8" s="27">
        <f t="shared" ca="1" si="135"/>
        <v>0</v>
      </c>
      <c r="EC8" s="27">
        <f t="shared" ca="1" si="135"/>
        <v>0</v>
      </c>
      <c r="ED8" s="27">
        <f t="shared" ca="1" si="135"/>
        <v>0</v>
      </c>
      <c r="EE8" s="27">
        <f t="shared" ca="1" si="135"/>
        <v>0</v>
      </c>
      <c r="EF8" s="27">
        <f t="shared" ca="1" si="135"/>
        <v>0</v>
      </c>
      <c r="EG8" s="27">
        <f t="shared" ca="1" si="135"/>
        <v>0</v>
      </c>
      <c r="EH8" s="27">
        <f t="shared" ca="1" si="135"/>
        <v>0</v>
      </c>
      <c r="EI8" s="27">
        <f t="shared" ca="1" si="135"/>
        <v>0</v>
      </c>
      <c r="EJ8" s="27">
        <f t="shared" ca="1" si="135"/>
        <v>0</v>
      </c>
      <c r="EK8" s="27">
        <f t="shared" ca="1" si="135"/>
        <v>0</v>
      </c>
      <c r="EL8" s="27">
        <f t="shared" ca="1" si="135"/>
        <v>0</v>
      </c>
      <c r="EM8" s="28">
        <f t="shared" ca="1" si="135"/>
        <v>0</v>
      </c>
      <c r="EO8" s="27">
        <f t="shared" ref="EO8:FA8" ca="1" si="136">EO27-(EO46+EO65)</f>
        <v>0</v>
      </c>
      <c r="EP8" s="27">
        <f t="shared" ca="1" si="136"/>
        <v>0</v>
      </c>
      <c r="EQ8" s="27">
        <f t="shared" ca="1" si="136"/>
        <v>0</v>
      </c>
      <c r="ER8" s="27">
        <f t="shared" ca="1" si="136"/>
        <v>0</v>
      </c>
      <c r="ES8" s="27">
        <f t="shared" ca="1" si="136"/>
        <v>0</v>
      </c>
      <c r="ET8" s="27">
        <f t="shared" ca="1" si="136"/>
        <v>0</v>
      </c>
      <c r="EU8" s="27">
        <f t="shared" ca="1" si="136"/>
        <v>0</v>
      </c>
      <c r="EV8" s="27">
        <f t="shared" ca="1" si="136"/>
        <v>0</v>
      </c>
      <c r="EW8" s="27">
        <f t="shared" ca="1" si="136"/>
        <v>0</v>
      </c>
      <c r="EX8" s="27">
        <f t="shared" ca="1" si="136"/>
        <v>0</v>
      </c>
      <c r="EY8" s="27">
        <f t="shared" ca="1" si="136"/>
        <v>0</v>
      </c>
      <c r="EZ8" s="27">
        <f t="shared" ca="1" si="136"/>
        <v>0</v>
      </c>
      <c r="FA8" s="28">
        <f t="shared" ca="1" si="136"/>
        <v>0</v>
      </c>
    </row>
    <row r="9" spans="2:157" x14ac:dyDescent="0.2">
      <c r="H9" s="11"/>
      <c r="I9" s="11"/>
      <c r="Q9" s="11"/>
      <c r="V9" s="11"/>
      <c r="W9" s="11"/>
      <c r="AE9" s="11"/>
      <c r="AJ9" s="11"/>
      <c r="AK9" s="11"/>
      <c r="AS9" s="11"/>
      <c r="AX9" s="11"/>
      <c r="AY9" s="11"/>
      <c r="BG9" s="11"/>
      <c r="BL9" s="11"/>
      <c r="BM9" s="11"/>
      <c r="BU9" s="11"/>
      <c r="BZ9" s="11"/>
      <c r="CA9" s="11"/>
      <c r="CI9" s="11"/>
      <c r="CN9" s="11"/>
      <c r="CO9" s="11"/>
      <c r="CW9" s="11"/>
      <c r="DB9" s="11"/>
      <c r="DC9" s="11"/>
      <c r="DK9" s="11"/>
      <c r="DP9" s="11"/>
      <c r="DQ9" s="11"/>
      <c r="DY9" s="11"/>
      <c r="ED9" s="11"/>
      <c r="EE9" s="11"/>
      <c r="EM9" s="11"/>
      <c r="ER9" s="11"/>
      <c r="ES9" s="11"/>
      <c r="FA9" s="11"/>
    </row>
    <row r="10" spans="2:157" x14ac:dyDescent="0.2">
      <c r="C10" s="12" t="s">
        <v>9</v>
      </c>
      <c r="E10" s="15">
        <f>DATE(E$6, 1, 1)</f>
        <v>45658</v>
      </c>
      <c r="F10" s="15">
        <f>DATE(E$6, 2, 1)</f>
        <v>45689</v>
      </c>
      <c r="G10" s="15">
        <f>DATE(E$6, 3, 1)</f>
        <v>45717</v>
      </c>
      <c r="H10" s="15">
        <f>DATE(E$6, 4, 1)</f>
        <v>45748</v>
      </c>
      <c r="I10" s="15">
        <f>DATE(E$6, 5, 1)</f>
        <v>45778</v>
      </c>
      <c r="J10" s="15">
        <f>DATE(E$6, 6, 1)</f>
        <v>45809</v>
      </c>
      <c r="K10" s="15">
        <f>DATE(E$6, 7, 1)</f>
        <v>45839</v>
      </c>
      <c r="L10" s="15">
        <f>DATE(E$6, 8, 1)</f>
        <v>45870</v>
      </c>
      <c r="M10" s="15">
        <f>DATE(E$6, 9, 1)</f>
        <v>45901</v>
      </c>
      <c r="N10" s="15">
        <f>DATE(E$6, 10, 1)</f>
        <v>45931</v>
      </c>
      <c r="O10" s="15">
        <f>DATE(E$6, 11, 1)</f>
        <v>45962</v>
      </c>
      <c r="P10" s="15">
        <f>DATE(E$6, 12, 1)</f>
        <v>45992</v>
      </c>
      <c r="Q10" s="16">
        <f>E$6</f>
        <v>2025</v>
      </c>
      <c r="S10" s="15">
        <f>DATE(S$6, 1, 1)</f>
        <v>46023</v>
      </c>
      <c r="T10" s="15">
        <f>DATE(S$6, 2, 1)</f>
        <v>46054</v>
      </c>
      <c r="U10" s="15">
        <f>DATE(S$6, 3, 1)</f>
        <v>46082</v>
      </c>
      <c r="V10" s="15">
        <f>DATE(S$6, 4, 1)</f>
        <v>46113</v>
      </c>
      <c r="W10" s="15">
        <f>DATE(S$6, 5, 1)</f>
        <v>46143</v>
      </c>
      <c r="X10" s="15">
        <f>DATE(S$6, 6, 1)</f>
        <v>46174</v>
      </c>
      <c r="Y10" s="15">
        <f>DATE(S$6, 7, 1)</f>
        <v>46204</v>
      </c>
      <c r="Z10" s="15">
        <f>DATE(S$6, 8, 1)</f>
        <v>46235</v>
      </c>
      <c r="AA10" s="15">
        <f>DATE(S$6, 9, 1)</f>
        <v>46266</v>
      </c>
      <c r="AB10" s="15">
        <f>DATE(S$6, 10, 1)</f>
        <v>46296</v>
      </c>
      <c r="AC10" s="15">
        <f>DATE(S$6, 11, 1)</f>
        <v>46327</v>
      </c>
      <c r="AD10" s="15">
        <f>DATE(S$6, 12, 1)</f>
        <v>46357</v>
      </c>
      <c r="AE10" s="16">
        <f>S$6</f>
        <v>2026</v>
      </c>
      <c r="AG10" s="15">
        <f t="shared" ref="AG10" si="137">DATE(AG$6, 1, 1)</f>
        <v>46388</v>
      </c>
      <c r="AH10" s="15">
        <f t="shared" ref="AH10" si="138">DATE(AG$6, 2, 1)</f>
        <v>46419</v>
      </c>
      <c r="AI10" s="15">
        <f t="shared" ref="AI10" si="139">DATE(AG$6, 3, 1)</f>
        <v>46447</v>
      </c>
      <c r="AJ10" s="15">
        <f t="shared" ref="AJ10" si="140">DATE(AG$6, 4, 1)</f>
        <v>46478</v>
      </c>
      <c r="AK10" s="15">
        <f t="shared" ref="AK10" si="141">DATE(AG$6, 5, 1)</f>
        <v>46508</v>
      </c>
      <c r="AL10" s="15">
        <f t="shared" ref="AL10" si="142">DATE(AG$6, 6, 1)</f>
        <v>46539</v>
      </c>
      <c r="AM10" s="15">
        <f t="shared" ref="AM10" si="143">DATE(AG$6, 7, 1)</f>
        <v>46569</v>
      </c>
      <c r="AN10" s="15">
        <f t="shared" ref="AN10" si="144">DATE(AG$6, 8, 1)</f>
        <v>46600</v>
      </c>
      <c r="AO10" s="15">
        <f t="shared" ref="AO10" si="145">DATE(AG$6, 9, 1)</f>
        <v>46631</v>
      </c>
      <c r="AP10" s="15">
        <f t="shared" ref="AP10" si="146">DATE(AG$6, 10, 1)</f>
        <v>46661</v>
      </c>
      <c r="AQ10" s="15">
        <f t="shared" ref="AQ10" si="147">DATE(AG$6, 11, 1)</f>
        <v>46692</v>
      </c>
      <c r="AR10" s="15">
        <f t="shared" ref="AR10" si="148">DATE(AG$6, 12, 1)</f>
        <v>46722</v>
      </c>
      <c r="AS10" s="16">
        <f t="shared" ref="AS10" si="149">AG$6</f>
        <v>2027</v>
      </c>
      <c r="AU10" s="15">
        <f t="shared" ref="AU10" si="150">DATE(AU$6, 1, 1)</f>
        <v>46753</v>
      </c>
      <c r="AV10" s="15">
        <f t="shared" ref="AV10" si="151">DATE(AU$6, 2, 1)</f>
        <v>46784</v>
      </c>
      <c r="AW10" s="15">
        <f t="shared" ref="AW10" si="152">DATE(AU$6, 3, 1)</f>
        <v>46813</v>
      </c>
      <c r="AX10" s="15">
        <f t="shared" ref="AX10" si="153">DATE(AU$6, 4, 1)</f>
        <v>46844</v>
      </c>
      <c r="AY10" s="15">
        <f t="shared" ref="AY10" si="154">DATE(AU$6, 5, 1)</f>
        <v>46874</v>
      </c>
      <c r="AZ10" s="15">
        <f t="shared" ref="AZ10" si="155">DATE(AU$6, 6, 1)</f>
        <v>46905</v>
      </c>
      <c r="BA10" s="15">
        <f t="shared" ref="BA10" si="156">DATE(AU$6, 7, 1)</f>
        <v>46935</v>
      </c>
      <c r="BB10" s="15">
        <f t="shared" ref="BB10" si="157">DATE(AU$6, 8, 1)</f>
        <v>46966</v>
      </c>
      <c r="BC10" s="15">
        <f t="shared" ref="BC10" si="158">DATE(AU$6, 9, 1)</f>
        <v>46997</v>
      </c>
      <c r="BD10" s="15">
        <f t="shared" ref="BD10" si="159">DATE(AU$6, 10, 1)</f>
        <v>47027</v>
      </c>
      <c r="BE10" s="15">
        <f t="shared" ref="BE10" si="160">DATE(AU$6, 11, 1)</f>
        <v>47058</v>
      </c>
      <c r="BF10" s="15">
        <f t="shared" ref="BF10" si="161">DATE(AU$6, 12, 1)</f>
        <v>47088</v>
      </c>
      <c r="BG10" s="16">
        <f t="shared" ref="BG10" si="162">AU$6</f>
        <v>2028</v>
      </c>
      <c r="BI10" s="15">
        <f t="shared" ref="BI10" si="163">DATE(BI$6, 1, 1)</f>
        <v>47119</v>
      </c>
      <c r="BJ10" s="15">
        <f t="shared" ref="BJ10" si="164">DATE(BI$6, 2, 1)</f>
        <v>47150</v>
      </c>
      <c r="BK10" s="15">
        <f t="shared" ref="BK10" si="165">DATE(BI$6, 3, 1)</f>
        <v>47178</v>
      </c>
      <c r="BL10" s="15">
        <f t="shared" ref="BL10" si="166">DATE(BI$6, 4, 1)</f>
        <v>47209</v>
      </c>
      <c r="BM10" s="15">
        <f t="shared" ref="BM10" si="167">DATE(BI$6, 5, 1)</f>
        <v>47239</v>
      </c>
      <c r="BN10" s="15">
        <f t="shared" ref="BN10" si="168">DATE(BI$6, 6, 1)</f>
        <v>47270</v>
      </c>
      <c r="BO10" s="15">
        <f t="shared" ref="BO10" si="169">DATE(BI$6, 7, 1)</f>
        <v>47300</v>
      </c>
      <c r="BP10" s="15">
        <f t="shared" ref="BP10" si="170">DATE(BI$6, 8, 1)</f>
        <v>47331</v>
      </c>
      <c r="BQ10" s="15">
        <f t="shared" ref="BQ10" si="171">DATE(BI$6, 9, 1)</f>
        <v>47362</v>
      </c>
      <c r="BR10" s="15">
        <f t="shared" ref="BR10" si="172">DATE(BI$6, 10, 1)</f>
        <v>47392</v>
      </c>
      <c r="BS10" s="15">
        <f t="shared" ref="BS10" si="173">DATE(BI$6, 11, 1)</f>
        <v>47423</v>
      </c>
      <c r="BT10" s="15">
        <f t="shared" ref="BT10" si="174">DATE(BI$6, 12, 1)</f>
        <v>47453</v>
      </c>
      <c r="BU10" s="16">
        <f t="shared" ref="BU10" si="175">BI$6</f>
        <v>2029</v>
      </c>
      <c r="BW10" s="15">
        <f t="shared" ref="BW10" si="176">DATE(BW$6, 1, 1)</f>
        <v>47484</v>
      </c>
      <c r="BX10" s="15">
        <f t="shared" ref="BX10" si="177">DATE(BW$6, 2, 1)</f>
        <v>47515</v>
      </c>
      <c r="BY10" s="15">
        <f t="shared" ref="BY10" si="178">DATE(BW$6, 3, 1)</f>
        <v>47543</v>
      </c>
      <c r="BZ10" s="15">
        <f t="shared" ref="BZ10" si="179">DATE(BW$6, 4, 1)</f>
        <v>47574</v>
      </c>
      <c r="CA10" s="15">
        <f t="shared" ref="CA10" si="180">DATE(BW$6, 5, 1)</f>
        <v>47604</v>
      </c>
      <c r="CB10" s="15">
        <f t="shared" ref="CB10" si="181">DATE(BW$6, 6, 1)</f>
        <v>47635</v>
      </c>
      <c r="CC10" s="15">
        <f t="shared" ref="CC10" si="182">DATE(BW$6, 7, 1)</f>
        <v>47665</v>
      </c>
      <c r="CD10" s="15">
        <f t="shared" ref="CD10" si="183">DATE(BW$6, 8, 1)</f>
        <v>47696</v>
      </c>
      <c r="CE10" s="15">
        <f t="shared" ref="CE10" si="184">DATE(BW$6, 9, 1)</f>
        <v>47727</v>
      </c>
      <c r="CF10" s="15">
        <f t="shared" ref="CF10" si="185">DATE(BW$6, 10, 1)</f>
        <v>47757</v>
      </c>
      <c r="CG10" s="15">
        <f t="shared" ref="CG10" si="186">DATE(BW$6, 11, 1)</f>
        <v>47788</v>
      </c>
      <c r="CH10" s="15">
        <f t="shared" ref="CH10" si="187">DATE(BW$6, 12, 1)</f>
        <v>47818</v>
      </c>
      <c r="CI10" s="16">
        <f t="shared" ref="CI10" si="188">BW$6</f>
        <v>2030</v>
      </c>
      <c r="CK10" s="15">
        <f t="shared" ref="CK10" si="189">DATE(CK$6, 1, 1)</f>
        <v>47849</v>
      </c>
      <c r="CL10" s="15">
        <f t="shared" ref="CL10" si="190">DATE(CK$6, 2, 1)</f>
        <v>47880</v>
      </c>
      <c r="CM10" s="15">
        <f t="shared" ref="CM10" si="191">DATE(CK$6, 3, 1)</f>
        <v>47908</v>
      </c>
      <c r="CN10" s="15">
        <f t="shared" ref="CN10" si="192">DATE(CK$6, 4, 1)</f>
        <v>47939</v>
      </c>
      <c r="CO10" s="15">
        <f t="shared" ref="CO10" si="193">DATE(CK$6, 5, 1)</f>
        <v>47969</v>
      </c>
      <c r="CP10" s="15">
        <f t="shared" ref="CP10" si="194">DATE(CK$6, 6, 1)</f>
        <v>48000</v>
      </c>
      <c r="CQ10" s="15">
        <f t="shared" ref="CQ10" si="195">DATE(CK$6, 7, 1)</f>
        <v>48030</v>
      </c>
      <c r="CR10" s="15">
        <f t="shared" ref="CR10" si="196">DATE(CK$6, 8, 1)</f>
        <v>48061</v>
      </c>
      <c r="CS10" s="15">
        <f t="shared" ref="CS10" si="197">DATE(CK$6, 9, 1)</f>
        <v>48092</v>
      </c>
      <c r="CT10" s="15">
        <f t="shared" ref="CT10" si="198">DATE(CK$6, 10, 1)</f>
        <v>48122</v>
      </c>
      <c r="CU10" s="15">
        <f t="shared" ref="CU10" si="199">DATE(CK$6, 11, 1)</f>
        <v>48153</v>
      </c>
      <c r="CV10" s="15">
        <f t="shared" ref="CV10" si="200">DATE(CK$6, 12, 1)</f>
        <v>48183</v>
      </c>
      <c r="CW10" s="16">
        <f t="shared" ref="CW10" si="201">CK$6</f>
        <v>2031</v>
      </c>
      <c r="CY10" s="15">
        <f t="shared" ref="CY10" si="202">DATE(CY$6, 1, 1)</f>
        <v>48214</v>
      </c>
      <c r="CZ10" s="15">
        <f t="shared" ref="CZ10" si="203">DATE(CY$6, 2, 1)</f>
        <v>48245</v>
      </c>
      <c r="DA10" s="15">
        <f t="shared" ref="DA10" si="204">DATE(CY$6, 3, 1)</f>
        <v>48274</v>
      </c>
      <c r="DB10" s="15">
        <f t="shared" ref="DB10" si="205">DATE(CY$6, 4, 1)</f>
        <v>48305</v>
      </c>
      <c r="DC10" s="15">
        <f t="shared" ref="DC10" si="206">DATE(CY$6, 5, 1)</f>
        <v>48335</v>
      </c>
      <c r="DD10" s="15">
        <f t="shared" ref="DD10" si="207">DATE(CY$6, 6, 1)</f>
        <v>48366</v>
      </c>
      <c r="DE10" s="15">
        <f t="shared" ref="DE10" si="208">DATE(CY$6, 7, 1)</f>
        <v>48396</v>
      </c>
      <c r="DF10" s="15">
        <f t="shared" ref="DF10" si="209">DATE(CY$6, 8, 1)</f>
        <v>48427</v>
      </c>
      <c r="DG10" s="15">
        <f t="shared" ref="DG10" si="210">DATE(CY$6, 9, 1)</f>
        <v>48458</v>
      </c>
      <c r="DH10" s="15">
        <f t="shared" ref="DH10" si="211">DATE(CY$6, 10, 1)</f>
        <v>48488</v>
      </c>
      <c r="DI10" s="15">
        <f t="shared" ref="DI10" si="212">DATE(CY$6, 11, 1)</f>
        <v>48519</v>
      </c>
      <c r="DJ10" s="15">
        <f t="shared" ref="DJ10" si="213">DATE(CY$6, 12, 1)</f>
        <v>48549</v>
      </c>
      <c r="DK10" s="16">
        <f t="shared" ref="DK10" si="214">CY$6</f>
        <v>2032</v>
      </c>
      <c r="DM10" s="15">
        <f t="shared" ref="DM10" si="215">DATE(DM$6, 1, 1)</f>
        <v>48580</v>
      </c>
      <c r="DN10" s="15">
        <f t="shared" ref="DN10" si="216">DATE(DM$6, 2, 1)</f>
        <v>48611</v>
      </c>
      <c r="DO10" s="15">
        <f t="shared" ref="DO10" si="217">DATE(DM$6, 3, 1)</f>
        <v>48639</v>
      </c>
      <c r="DP10" s="15">
        <f t="shared" ref="DP10" si="218">DATE(DM$6, 4, 1)</f>
        <v>48670</v>
      </c>
      <c r="DQ10" s="15">
        <f t="shared" ref="DQ10" si="219">DATE(DM$6, 5, 1)</f>
        <v>48700</v>
      </c>
      <c r="DR10" s="15">
        <f t="shared" ref="DR10" si="220">DATE(DM$6, 6, 1)</f>
        <v>48731</v>
      </c>
      <c r="DS10" s="15">
        <f t="shared" ref="DS10" si="221">DATE(DM$6, 7, 1)</f>
        <v>48761</v>
      </c>
      <c r="DT10" s="15">
        <f t="shared" ref="DT10" si="222">DATE(DM$6, 8, 1)</f>
        <v>48792</v>
      </c>
      <c r="DU10" s="15">
        <f t="shared" ref="DU10" si="223">DATE(DM$6, 9, 1)</f>
        <v>48823</v>
      </c>
      <c r="DV10" s="15">
        <f t="shared" ref="DV10" si="224">DATE(DM$6, 10, 1)</f>
        <v>48853</v>
      </c>
      <c r="DW10" s="15">
        <f t="shared" ref="DW10" si="225">DATE(DM$6, 11, 1)</f>
        <v>48884</v>
      </c>
      <c r="DX10" s="15">
        <f t="shared" ref="DX10" si="226">DATE(DM$6, 12, 1)</f>
        <v>48914</v>
      </c>
      <c r="DY10" s="16">
        <f t="shared" ref="DY10" si="227">DM$6</f>
        <v>2033</v>
      </c>
      <c r="EA10" s="15">
        <f t="shared" ref="EA10:EO10" si="228">DATE(EA$6, 1, 1)</f>
        <v>48945</v>
      </c>
      <c r="EB10" s="15">
        <f t="shared" ref="EB10" si="229">DATE(EA$6, 2, 1)</f>
        <v>48976</v>
      </c>
      <c r="EC10" s="15">
        <f t="shared" ref="EC10" si="230">DATE(EA$6, 3, 1)</f>
        <v>49004</v>
      </c>
      <c r="ED10" s="15">
        <f t="shared" ref="ED10" si="231">DATE(EA$6, 4, 1)</f>
        <v>49035</v>
      </c>
      <c r="EE10" s="15">
        <f t="shared" ref="EE10" si="232">DATE(EA$6, 5, 1)</f>
        <v>49065</v>
      </c>
      <c r="EF10" s="15">
        <f t="shared" ref="EF10" si="233">DATE(EA$6, 6, 1)</f>
        <v>49096</v>
      </c>
      <c r="EG10" s="15">
        <f t="shared" ref="EG10" si="234">DATE(EA$6, 7, 1)</f>
        <v>49126</v>
      </c>
      <c r="EH10" s="15">
        <f t="shared" ref="EH10" si="235">DATE(EA$6, 8, 1)</f>
        <v>49157</v>
      </c>
      <c r="EI10" s="15">
        <f t="shared" ref="EI10" si="236">DATE(EA$6, 9, 1)</f>
        <v>49188</v>
      </c>
      <c r="EJ10" s="15">
        <f t="shared" ref="EJ10" si="237">DATE(EA$6, 10, 1)</f>
        <v>49218</v>
      </c>
      <c r="EK10" s="15">
        <f t="shared" ref="EK10" si="238">DATE(EA$6, 11, 1)</f>
        <v>49249</v>
      </c>
      <c r="EL10" s="15">
        <f t="shared" ref="EL10" si="239">DATE(EA$6, 12, 1)</f>
        <v>49279</v>
      </c>
      <c r="EM10" s="16">
        <f t="shared" ref="EM10" si="240">EA$6</f>
        <v>2034</v>
      </c>
      <c r="EO10" s="15">
        <f t="shared" si="228"/>
        <v>49310</v>
      </c>
      <c r="EP10" s="15">
        <f t="shared" ref="EP10" si="241">DATE(EO$6, 2, 1)</f>
        <v>49341</v>
      </c>
      <c r="EQ10" s="15">
        <f t="shared" ref="EQ10" si="242">DATE(EO$6, 3, 1)</f>
        <v>49369</v>
      </c>
      <c r="ER10" s="15">
        <f t="shared" ref="ER10" si="243">DATE(EO$6, 4, 1)</f>
        <v>49400</v>
      </c>
      <c r="ES10" s="15">
        <f t="shared" ref="ES10" si="244">DATE(EO$6, 5, 1)</f>
        <v>49430</v>
      </c>
      <c r="ET10" s="15">
        <f t="shared" ref="ET10" si="245">DATE(EO$6, 6, 1)</f>
        <v>49461</v>
      </c>
      <c r="EU10" s="15">
        <f t="shared" ref="EU10" si="246">DATE(EO$6, 7, 1)</f>
        <v>49491</v>
      </c>
      <c r="EV10" s="15">
        <f t="shared" ref="EV10" si="247">DATE(EO$6, 8, 1)</f>
        <v>49522</v>
      </c>
      <c r="EW10" s="15">
        <f t="shared" ref="EW10" si="248">DATE(EO$6, 9, 1)</f>
        <v>49553</v>
      </c>
      <c r="EX10" s="15">
        <f t="shared" ref="EX10" si="249">DATE(EO$6, 10, 1)</f>
        <v>49583</v>
      </c>
      <c r="EY10" s="15">
        <f t="shared" ref="EY10" si="250">DATE(EO$6, 11, 1)</f>
        <v>49614</v>
      </c>
      <c r="EZ10" s="15">
        <f t="shared" ref="EZ10" si="251">DATE(EO$6, 12, 1)</f>
        <v>49644</v>
      </c>
      <c r="FA10" s="16">
        <f t="shared" ref="FA10" si="252">EO$6</f>
        <v>2035</v>
      </c>
    </row>
    <row r="11" spans="2:157" x14ac:dyDescent="0.2">
      <c r="C11" s="17" t="s">
        <v>12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>
        <f>SUM(E11:P11)</f>
        <v>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>
        <f>SUM(S11:AD11)</f>
        <v>0</v>
      </c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>
        <f t="shared" ref="AS11" si="253">SUM(AG11:AR11)</f>
        <v>0</v>
      </c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>
        <f t="shared" ref="BG11" si="254">SUM(AU11:BF11)</f>
        <v>0</v>
      </c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>
        <f t="shared" ref="BU11" si="255">SUM(BI11:BT11)</f>
        <v>0</v>
      </c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>
        <f t="shared" ref="CI11" si="256">SUM(BW11:CH11)</f>
        <v>0</v>
      </c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>
        <f t="shared" ref="CW11" si="257">SUM(CK11:CV11)</f>
        <v>0</v>
      </c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>
        <f t="shared" ref="DK11" si="258">SUM(CY11:DJ11)</f>
        <v>0</v>
      </c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>
        <f t="shared" ref="DY11" si="259">SUM(DM11:DX11)</f>
        <v>0</v>
      </c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>
        <f t="shared" ref="EM11" si="260">SUM(EA11:EL11)</f>
        <v>0</v>
      </c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>
        <f t="shared" ref="FA11" si="261">SUM(EO11:EZ11)</f>
        <v>0</v>
      </c>
    </row>
    <row r="12" spans="2:157" x14ac:dyDescent="0.2">
      <c r="C12" s="17" t="s">
        <v>13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>
        <f t="shared" ref="Q12:Q13" si="262">SUM(E12:P12)</f>
        <v>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>
        <f t="shared" ref="AE12:AE26" si="263">SUM(S12:AD12)</f>
        <v>0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>
        <f t="shared" ref="AS12:AS26" si="264">SUM(AG12:AR12)</f>
        <v>0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>
        <f t="shared" ref="BG12:BG26" si="265">SUM(AU12:BF12)</f>
        <v>0</v>
      </c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>
        <f t="shared" ref="BU12:BU26" si="266">SUM(BI12:BT12)</f>
        <v>0</v>
      </c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>
        <f t="shared" ref="CI12:CI26" si="267">SUM(BW12:CH12)</f>
        <v>0</v>
      </c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>
        <f t="shared" ref="CW12:CW26" si="268">SUM(CK12:CV12)</f>
        <v>0</v>
      </c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>
        <f t="shared" ref="DK12:DK26" si="269">SUM(CY12:DJ12)</f>
        <v>0</v>
      </c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>
        <f t="shared" ref="DY12:DY26" si="270">SUM(DM12:DX12)</f>
        <v>0</v>
      </c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>
        <f t="shared" ref="EM12:EM26" si="271">SUM(EA12:EL12)</f>
        <v>0</v>
      </c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>
        <f t="shared" ref="FA12:FA26" si="272">SUM(EO12:EZ12)</f>
        <v>0</v>
      </c>
    </row>
    <row r="13" spans="2:157" x14ac:dyDescent="0.2">
      <c r="C13" s="17" t="s">
        <v>14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>
        <f t="shared" si="262"/>
        <v>0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>
        <f t="shared" si="263"/>
        <v>0</v>
      </c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>
        <f t="shared" si="264"/>
        <v>0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>
        <f t="shared" si="265"/>
        <v>0</v>
      </c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>
        <f t="shared" si="266"/>
        <v>0</v>
      </c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>
        <f t="shared" si="267"/>
        <v>0</v>
      </c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>
        <f t="shared" si="268"/>
        <v>0</v>
      </c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>
        <f t="shared" si="269"/>
        <v>0</v>
      </c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>
        <f t="shared" si="270"/>
        <v>0</v>
      </c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>
        <f t="shared" si="271"/>
        <v>0</v>
      </c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>
        <f t="shared" si="272"/>
        <v>0</v>
      </c>
    </row>
    <row r="14" spans="2:157" hidden="1" x14ac:dyDescent="0.2">
      <c r="C14" s="17" t="s">
        <v>10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>
        <f t="shared" ref="Q14:Q26" si="273">SUM(E14:P14)</f>
        <v>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>
        <f t="shared" si="263"/>
        <v>0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>
        <f t="shared" si="264"/>
        <v>0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>
        <f t="shared" si="265"/>
        <v>0</v>
      </c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>
        <f t="shared" si="266"/>
        <v>0</v>
      </c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>
        <f t="shared" si="267"/>
        <v>0</v>
      </c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>
        <f t="shared" si="268"/>
        <v>0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>
        <f t="shared" si="269"/>
        <v>0</v>
      </c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>
        <f t="shared" si="270"/>
        <v>0</v>
      </c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>
        <f t="shared" si="271"/>
        <v>0</v>
      </c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>
        <f t="shared" si="272"/>
        <v>0</v>
      </c>
    </row>
    <row r="15" spans="2:157" hidden="1" x14ac:dyDescent="0.2">
      <c r="C15" s="17" t="s">
        <v>10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>
        <f t="shared" si="273"/>
        <v>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>
        <f t="shared" si="263"/>
        <v>0</v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>
        <f t="shared" si="264"/>
        <v>0</v>
      </c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>
        <f t="shared" si="265"/>
        <v>0</v>
      </c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>
        <f t="shared" si="266"/>
        <v>0</v>
      </c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>
        <f t="shared" si="267"/>
        <v>0</v>
      </c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>
        <f t="shared" si="268"/>
        <v>0</v>
      </c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>
        <f t="shared" si="269"/>
        <v>0</v>
      </c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>
        <f t="shared" si="270"/>
        <v>0</v>
      </c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>
        <f t="shared" si="271"/>
        <v>0</v>
      </c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>
        <f t="shared" si="272"/>
        <v>0</v>
      </c>
    </row>
    <row r="16" spans="2:157" hidden="1" x14ac:dyDescent="0.2">
      <c r="C16" s="17" t="s">
        <v>10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>
        <f t="shared" si="273"/>
        <v>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>
        <f t="shared" si="263"/>
        <v>0</v>
      </c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>
        <f t="shared" si="264"/>
        <v>0</v>
      </c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>
        <f t="shared" si="265"/>
        <v>0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>
        <f t="shared" si="266"/>
        <v>0</v>
      </c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>
        <f t="shared" si="267"/>
        <v>0</v>
      </c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>
        <f t="shared" si="268"/>
        <v>0</v>
      </c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>
        <f t="shared" si="269"/>
        <v>0</v>
      </c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>
        <f t="shared" si="270"/>
        <v>0</v>
      </c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>
        <f t="shared" si="271"/>
        <v>0</v>
      </c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>
        <f t="shared" si="272"/>
        <v>0</v>
      </c>
    </row>
    <row r="17" spans="3:157" hidden="1" x14ac:dyDescent="0.2">
      <c r="C17" s="17" t="s">
        <v>10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>
        <f t="shared" si="273"/>
        <v>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>
        <f t="shared" si="263"/>
        <v>0</v>
      </c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>
        <f t="shared" si="264"/>
        <v>0</v>
      </c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>
        <f t="shared" si="265"/>
        <v>0</v>
      </c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>
        <f t="shared" si="266"/>
        <v>0</v>
      </c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>
        <f t="shared" si="267"/>
        <v>0</v>
      </c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>
        <f t="shared" si="268"/>
        <v>0</v>
      </c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>
        <f t="shared" si="269"/>
        <v>0</v>
      </c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>
        <f t="shared" si="270"/>
        <v>0</v>
      </c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>
        <f t="shared" si="271"/>
        <v>0</v>
      </c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>
        <f t="shared" si="272"/>
        <v>0</v>
      </c>
    </row>
    <row r="18" spans="3:157" hidden="1" x14ac:dyDescent="0.2">
      <c r="C18" s="17" t="s">
        <v>10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>
        <f t="shared" si="273"/>
        <v>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>
        <f t="shared" si="263"/>
        <v>0</v>
      </c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>
        <f t="shared" si="264"/>
        <v>0</v>
      </c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>
        <f t="shared" si="265"/>
        <v>0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>
        <f t="shared" si="266"/>
        <v>0</v>
      </c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>
        <f t="shared" si="267"/>
        <v>0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>
        <f t="shared" si="268"/>
        <v>0</v>
      </c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>
        <f t="shared" si="269"/>
        <v>0</v>
      </c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>
        <f t="shared" si="270"/>
        <v>0</v>
      </c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>
        <f t="shared" si="271"/>
        <v>0</v>
      </c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>
        <f t="shared" si="272"/>
        <v>0</v>
      </c>
    </row>
    <row r="19" spans="3:157" hidden="1" x14ac:dyDescent="0.2">
      <c r="C19" s="17" t="s">
        <v>10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>
        <f t="shared" si="273"/>
        <v>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>
        <f t="shared" si="263"/>
        <v>0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>
        <f t="shared" si="264"/>
        <v>0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>
        <f t="shared" si="265"/>
        <v>0</v>
      </c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>
        <f t="shared" si="266"/>
        <v>0</v>
      </c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>
        <f t="shared" si="267"/>
        <v>0</v>
      </c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>
        <f t="shared" si="268"/>
        <v>0</v>
      </c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>
        <f t="shared" si="269"/>
        <v>0</v>
      </c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>
        <f t="shared" si="270"/>
        <v>0</v>
      </c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>
        <f t="shared" si="271"/>
        <v>0</v>
      </c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>
        <f t="shared" si="272"/>
        <v>0</v>
      </c>
    </row>
    <row r="20" spans="3:157" hidden="1" x14ac:dyDescent="0.2">
      <c r="C20" s="17" t="s">
        <v>10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>
        <f t="shared" si="273"/>
        <v>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>
        <f t="shared" si="263"/>
        <v>0</v>
      </c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>
        <f t="shared" si="264"/>
        <v>0</v>
      </c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>
        <f t="shared" si="265"/>
        <v>0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>
        <f t="shared" si="266"/>
        <v>0</v>
      </c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>
        <f t="shared" si="267"/>
        <v>0</v>
      </c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>
        <f t="shared" si="268"/>
        <v>0</v>
      </c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>
        <f t="shared" si="269"/>
        <v>0</v>
      </c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>
        <f t="shared" si="270"/>
        <v>0</v>
      </c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>
        <f t="shared" si="271"/>
        <v>0</v>
      </c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>
        <f t="shared" si="272"/>
        <v>0</v>
      </c>
    </row>
    <row r="21" spans="3:157" hidden="1" x14ac:dyDescent="0.2">
      <c r="C21" s="17" t="s">
        <v>10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>
        <f t="shared" si="273"/>
        <v>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>
        <f t="shared" si="263"/>
        <v>0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>
        <f t="shared" si="264"/>
        <v>0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>
        <f t="shared" si="265"/>
        <v>0</v>
      </c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>
        <f t="shared" si="266"/>
        <v>0</v>
      </c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>
        <f t="shared" si="267"/>
        <v>0</v>
      </c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>
        <f t="shared" si="268"/>
        <v>0</v>
      </c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>
        <f t="shared" si="269"/>
        <v>0</v>
      </c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>
        <f t="shared" si="270"/>
        <v>0</v>
      </c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>
        <f t="shared" si="271"/>
        <v>0</v>
      </c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>
        <f t="shared" si="272"/>
        <v>0</v>
      </c>
    </row>
    <row r="22" spans="3:157" hidden="1" x14ac:dyDescent="0.2">
      <c r="C22" s="17" t="s">
        <v>10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>
        <f t="shared" si="273"/>
        <v>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>
        <f t="shared" si="263"/>
        <v>0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>
        <f t="shared" si="264"/>
        <v>0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>
        <f t="shared" si="265"/>
        <v>0</v>
      </c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>
        <f t="shared" si="266"/>
        <v>0</v>
      </c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>
        <f t="shared" si="267"/>
        <v>0</v>
      </c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>
        <f t="shared" si="268"/>
        <v>0</v>
      </c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>
        <f t="shared" si="269"/>
        <v>0</v>
      </c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>
        <f t="shared" si="270"/>
        <v>0</v>
      </c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>
        <f t="shared" si="271"/>
        <v>0</v>
      </c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>
        <f t="shared" si="272"/>
        <v>0</v>
      </c>
    </row>
    <row r="23" spans="3:157" hidden="1" x14ac:dyDescent="0.2">
      <c r="C23" s="17" t="s">
        <v>10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f t="shared" si="273"/>
        <v>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>
        <f t="shared" si="263"/>
        <v>0</v>
      </c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>
        <f t="shared" si="264"/>
        <v>0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>
        <f t="shared" si="265"/>
        <v>0</v>
      </c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>
        <f t="shared" si="266"/>
        <v>0</v>
      </c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>
        <f t="shared" si="267"/>
        <v>0</v>
      </c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>
        <f t="shared" si="268"/>
        <v>0</v>
      </c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>
        <f t="shared" si="269"/>
        <v>0</v>
      </c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>
        <f t="shared" si="270"/>
        <v>0</v>
      </c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>
        <f t="shared" si="271"/>
        <v>0</v>
      </c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>
        <f t="shared" si="272"/>
        <v>0</v>
      </c>
    </row>
    <row r="24" spans="3:157" hidden="1" x14ac:dyDescent="0.2">
      <c r="C24" s="17" t="s">
        <v>10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>
        <f t="shared" si="273"/>
        <v>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>
        <f t="shared" si="263"/>
        <v>0</v>
      </c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>
        <f t="shared" si="264"/>
        <v>0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>
        <f t="shared" si="265"/>
        <v>0</v>
      </c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>
        <f t="shared" si="266"/>
        <v>0</v>
      </c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>
        <f t="shared" si="267"/>
        <v>0</v>
      </c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>
        <f t="shared" si="268"/>
        <v>0</v>
      </c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>
        <f t="shared" si="269"/>
        <v>0</v>
      </c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>
        <f t="shared" si="270"/>
        <v>0</v>
      </c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>
        <f t="shared" si="271"/>
        <v>0</v>
      </c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>
        <f t="shared" si="272"/>
        <v>0</v>
      </c>
    </row>
    <row r="25" spans="3:157" hidden="1" x14ac:dyDescent="0.2">
      <c r="C25" s="17" t="s">
        <v>10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>
        <f t="shared" si="273"/>
        <v>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>
        <f t="shared" si="263"/>
        <v>0</v>
      </c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>
        <f t="shared" si="264"/>
        <v>0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>
        <f t="shared" si="265"/>
        <v>0</v>
      </c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>
        <f t="shared" si="266"/>
        <v>0</v>
      </c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>
        <f t="shared" si="267"/>
        <v>0</v>
      </c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>
        <f t="shared" si="268"/>
        <v>0</v>
      </c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>
        <f t="shared" si="269"/>
        <v>0</v>
      </c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>
        <f t="shared" si="270"/>
        <v>0</v>
      </c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>
        <f t="shared" si="271"/>
        <v>0</v>
      </c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>
        <f t="shared" si="272"/>
        <v>0</v>
      </c>
    </row>
    <row r="26" spans="3:157" hidden="1" x14ac:dyDescent="0.2">
      <c r="C26" s="17" t="s">
        <v>10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19">
        <f t="shared" si="273"/>
        <v>0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19">
        <f t="shared" si="263"/>
        <v>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19">
        <f t="shared" si="264"/>
        <v>0</v>
      </c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19">
        <f t="shared" si="265"/>
        <v>0</v>
      </c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19">
        <f t="shared" si="266"/>
        <v>0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19">
        <f t="shared" si="267"/>
        <v>0</v>
      </c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19">
        <f t="shared" si="268"/>
        <v>0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19">
        <f t="shared" si="269"/>
        <v>0</v>
      </c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19">
        <f t="shared" si="270"/>
        <v>0</v>
      </c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19">
        <f t="shared" si="271"/>
        <v>0</v>
      </c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19">
        <f t="shared" si="272"/>
        <v>0</v>
      </c>
    </row>
    <row r="27" spans="3:157" x14ac:dyDescent="0.2">
      <c r="C27" s="13" t="s">
        <v>11</v>
      </c>
      <c r="E27" s="20" cm="1">
        <f t="array" aca="1" ref="E27" ca="1">SUM(INDIRECT(ADDRESS(income_min_row, COLUMN()) &amp;":" &amp; ADDRESS(income_max_row, COLUMN())))</f>
        <v>0</v>
      </c>
      <c r="F27" s="20" cm="1">
        <f t="array" aca="1" ref="F27" ca="1">SUM(INDIRECT(ADDRESS(income_min_row, COLUMN()) &amp;":" &amp; ADDRESS(income_max_row, COLUMN())))</f>
        <v>0</v>
      </c>
      <c r="G27" s="20" cm="1">
        <f t="array" aca="1" ref="G27" ca="1">SUM(INDIRECT(ADDRESS(income_min_row, COLUMN()) &amp;":" &amp; ADDRESS(income_max_row, COLUMN())))</f>
        <v>0</v>
      </c>
      <c r="H27" s="20" cm="1">
        <f t="array" aca="1" ref="H27" ca="1">SUM(INDIRECT(ADDRESS(income_min_row, COLUMN()) &amp;":" &amp; ADDRESS(income_max_row, COLUMN())))</f>
        <v>0</v>
      </c>
      <c r="I27" s="20" cm="1">
        <f t="array" aca="1" ref="I27" ca="1">SUM(INDIRECT(ADDRESS(income_min_row, COLUMN()) &amp;":" &amp; ADDRESS(income_max_row, COLUMN())))</f>
        <v>0</v>
      </c>
      <c r="J27" s="20" cm="1">
        <f t="array" aca="1" ref="J27" ca="1">SUM(INDIRECT(ADDRESS(income_min_row, COLUMN()) &amp;":" &amp; ADDRESS(income_max_row, COLUMN())))</f>
        <v>0</v>
      </c>
      <c r="K27" s="20" cm="1">
        <f t="array" aca="1" ref="K27" ca="1">SUM(INDIRECT(ADDRESS(income_min_row, COLUMN()) &amp;":" &amp; ADDRESS(income_max_row, COLUMN())))</f>
        <v>0</v>
      </c>
      <c r="L27" s="20" cm="1">
        <f t="array" aca="1" ref="L27" ca="1">SUM(INDIRECT(ADDRESS(income_min_row, COLUMN()) &amp;":" &amp; ADDRESS(income_max_row, COLUMN())))</f>
        <v>0</v>
      </c>
      <c r="M27" s="20" cm="1">
        <f t="array" aca="1" ref="M27" ca="1">SUM(INDIRECT(ADDRESS(income_min_row, COLUMN()) &amp;":" &amp; ADDRESS(income_max_row, COLUMN())))</f>
        <v>0</v>
      </c>
      <c r="N27" s="20" cm="1">
        <f t="array" aca="1" ref="N27" ca="1">SUM(INDIRECT(ADDRESS(income_min_row, COLUMN()) &amp;":" &amp; ADDRESS(income_max_row, COLUMN())))</f>
        <v>0</v>
      </c>
      <c r="O27" s="20" cm="1">
        <f t="array" aca="1" ref="O27" ca="1">SUM(INDIRECT(ADDRESS(income_min_row, COLUMN()) &amp;":" &amp; ADDRESS(income_max_row, COLUMN())))</f>
        <v>0</v>
      </c>
      <c r="P27" s="20" cm="1">
        <f t="array" aca="1" ref="P27" ca="1">SUM(INDIRECT(ADDRESS(income_min_row, COLUMN()) &amp;":" &amp; ADDRESS(income_max_row, COLUMN())))</f>
        <v>0</v>
      </c>
      <c r="Q27" s="20" cm="1">
        <f t="array" aca="1" ref="Q27" ca="1">SUM(INDIRECT(ADDRESS(income_min_row, COLUMN()) &amp;":" &amp; ADDRESS(income_max_row, COLUMN())))</f>
        <v>0</v>
      </c>
      <c r="S27" s="20" cm="1">
        <f t="array" aca="1" ref="S27" ca="1">SUM(INDIRECT(ADDRESS(income_min_row, COLUMN()) &amp;":" &amp; ADDRESS(income_max_row, COLUMN())))</f>
        <v>0</v>
      </c>
      <c r="T27" s="20" cm="1">
        <f t="array" aca="1" ref="T27" ca="1">SUM(INDIRECT(ADDRESS(income_min_row, COLUMN()) &amp;":" &amp; ADDRESS(income_max_row, COLUMN())))</f>
        <v>0</v>
      </c>
      <c r="U27" s="20" cm="1">
        <f t="array" aca="1" ref="U27" ca="1">SUM(INDIRECT(ADDRESS(income_min_row, COLUMN()) &amp;":" &amp; ADDRESS(income_max_row, COLUMN())))</f>
        <v>0</v>
      </c>
      <c r="V27" s="20" cm="1">
        <f t="array" aca="1" ref="V27" ca="1">SUM(INDIRECT(ADDRESS(income_min_row, COLUMN()) &amp;":" &amp; ADDRESS(income_max_row, COLUMN())))</f>
        <v>0</v>
      </c>
      <c r="W27" s="20" cm="1">
        <f t="array" aca="1" ref="W27" ca="1">SUM(INDIRECT(ADDRESS(income_min_row, COLUMN()) &amp;":" &amp; ADDRESS(income_max_row, COLUMN())))</f>
        <v>0</v>
      </c>
      <c r="X27" s="20" cm="1">
        <f t="array" aca="1" ref="X27" ca="1">SUM(INDIRECT(ADDRESS(income_min_row, COLUMN()) &amp;":" &amp; ADDRESS(income_max_row, COLUMN())))</f>
        <v>0</v>
      </c>
      <c r="Y27" s="20" cm="1">
        <f t="array" aca="1" ref="Y27" ca="1">SUM(INDIRECT(ADDRESS(income_min_row, COLUMN()) &amp;":" &amp; ADDRESS(income_max_row, COLUMN())))</f>
        <v>0</v>
      </c>
      <c r="Z27" s="20" cm="1">
        <f t="array" aca="1" ref="Z27" ca="1">SUM(INDIRECT(ADDRESS(income_min_row, COLUMN()) &amp;":" &amp; ADDRESS(income_max_row, COLUMN())))</f>
        <v>0</v>
      </c>
      <c r="AA27" s="20" cm="1">
        <f t="array" aca="1" ref="AA27" ca="1">SUM(INDIRECT(ADDRESS(income_min_row, COLUMN()) &amp;":" &amp; ADDRESS(income_max_row, COLUMN())))</f>
        <v>0</v>
      </c>
      <c r="AB27" s="20" cm="1">
        <f t="array" aca="1" ref="AB27" ca="1">SUM(INDIRECT(ADDRESS(income_min_row, COLUMN()) &amp;":" &amp; ADDRESS(income_max_row, COLUMN())))</f>
        <v>0</v>
      </c>
      <c r="AC27" s="20" cm="1">
        <f t="array" aca="1" ref="AC27" ca="1">SUM(INDIRECT(ADDRESS(income_min_row, COLUMN()) &amp;":" &amp; ADDRESS(income_max_row, COLUMN())))</f>
        <v>0</v>
      </c>
      <c r="AD27" s="20" cm="1">
        <f t="array" aca="1" ref="AD27" ca="1">SUM(INDIRECT(ADDRESS(income_min_row, COLUMN()) &amp;":" &amp; ADDRESS(income_max_row, COLUMN())))</f>
        <v>0</v>
      </c>
      <c r="AE27" s="20" cm="1">
        <f t="array" aca="1" ref="AE27" ca="1">SUM(INDIRECT(ADDRESS(income_min_row, COLUMN()) &amp;":" &amp; ADDRESS(income_max_row, COLUMN())))</f>
        <v>0</v>
      </c>
      <c r="AG27" s="20" cm="1">
        <f t="array" aca="1" ref="AG27" ca="1">SUM(INDIRECT(ADDRESS(income_min_row, COLUMN()) &amp;":" &amp; ADDRESS(income_max_row, COLUMN())))</f>
        <v>0</v>
      </c>
      <c r="AH27" s="20" cm="1">
        <f t="array" aca="1" ref="AH27" ca="1">SUM(INDIRECT(ADDRESS(income_min_row, COLUMN()) &amp;":" &amp; ADDRESS(income_max_row, COLUMN())))</f>
        <v>0</v>
      </c>
      <c r="AI27" s="20" cm="1">
        <f t="array" aca="1" ref="AI27" ca="1">SUM(INDIRECT(ADDRESS(income_min_row, COLUMN()) &amp;":" &amp; ADDRESS(income_max_row, COLUMN())))</f>
        <v>0</v>
      </c>
      <c r="AJ27" s="20" cm="1">
        <f t="array" aca="1" ref="AJ27" ca="1">SUM(INDIRECT(ADDRESS(income_min_row, COLUMN()) &amp;":" &amp; ADDRESS(income_max_row, COLUMN())))</f>
        <v>0</v>
      </c>
      <c r="AK27" s="20" cm="1">
        <f t="array" aca="1" ref="AK27" ca="1">SUM(INDIRECT(ADDRESS(income_min_row, COLUMN()) &amp;":" &amp; ADDRESS(income_max_row, COLUMN())))</f>
        <v>0</v>
      </c>
      <c r="AL27" s="20" cm="1">
        <f t="array" aca="1" ref="AL27" ca="1">SUM(INDIRECT(ADDRESS(income_min_row, COLUMN()) &amp;":" &amp; ADDRESS(income_max_row, COLUMN())))</f>
        <v>0</v>
      </c>
      <c r="AM27" s="20" cm="1">
        <f t="array" aca="1" ref="AM27" ca="1">SUM(INDIRECT(ADDRESS(income_min_row, COLUMN()) &amp;":" &amp; ADDRESS(income_max_row, COLUMN())))</f>
        <v>0</v>
      </c>
      <c r="AN27" s="20" cm="1">
        <f t="array" aca="1" ref="AN27" ca="1">SUM(INDIRECT(ADDRESS(income_min_row, COLUMN()) &amp;":" &amp; ADDRESS(income_max_row, COLUMN())))</f>
        <v>0</v>
      </c>
      <c r="AO27" s="20" cm="1">
        <f t="array" aca="1" ref="AO27" ca="1">SUM(INDIRECT(ADDRESS(income_min_row, COLUMN()) &amp;":" &amp; ADDRESS(income_max_row, COLUMN())))</f>
        <v>0</v>
      </c>
      <c r="AP27" s="20" cm="1">
        <f t="array" aca="1" ref="AP27" ca="1">SUM(INDIRECT(ADDRESS(income_min_row, COLUMN()) &amp;":" &amp; ADDRESS(income_max_row, COLUMN())))</f>
        <v>0</v>
      </c>
      <c r="AQ27" s="20" cm="1">
        <f t="array" aca="1" ref="AQ27" ca="1">SUM(INDIRECT(ADDRESS(income_min_row, COLUMN()) &amp;":" &amp; ADDRESS(income_max_row, COLUMN())))</f>
        <v>0</v>
      </c>
      <c r="AR27" s="20" cm="1">
        <f t="array" aca="1" ref="AR27" ca="1">SUM(INDIRECT(ADDRESS(income_min_row, COLUMN()) &amp;":" &amp; ADDRESS(income_max_row, COLUMN())))</f>
        <v>0</v>
      </c>
      <c r="AS27" s="20" cm="1">
        <f t="array" aca="1" ref="AS27" ca="1">SUM(INDIRECT(ADDRESS(income_min_row, COLUMN()) &amp;":" &amp; ADDRESS(income_max_row, COLUMN())))</f>
        <v>0</v>
      </c>
      <c r="AU27" s="20" cm="1">
        <f t="array" aca="1" ref="AU27" ca="1">SUM(INDIRECT(ADDRESS(income_min_row, COLUMN()) &amp;":" &amp; ADDRESS(income_max_row, COLUMN())))</f>
        <v>0</v>
      </c>
      <c r="AV27" s="20" cm="1">
        <f t="array" aca="1" ref="AV27" ca="1">SUM(INDIRECT(ADDRESS(income_min_row, COLUMN()) &amp;":" &amp; ADDRESS(income_max_row, COLUMN())))</f>
        <v>0</v>
      </c>
      <c r="AW27" s="20" cm="1">
        <f t="array" aca="1" ref="AW27" ca="1">SUM(INDIRECT(ADDRESS(income_min_row, COLUMN()) &amp;":" &amp; ADDRESS(income_max_row, COLUMN())))</f>
        <v>0</v>
      </c>
      <c r="AX27" s="20" cm="1">
        <f t="array" aca="1" ref="AX27" ca="1">SUM(INDIRECT(ADDRESS(income_min_row, COLUMN()) &amp;":" &amp; ADDRESS(income_max_row, COLUMN())))</f>
        <v>0</v>
      </c>
      <c r="AY27" s="20" cm="1">
        <f t="array" aca="1" ref="AY27" ca="1">SUM(INDIRECT(ADDRESS(income_min_row, COLUMN()) &amp;":" &amp; ADDRESS(income_max_row, COLUMN())))</f>
        <v>0</v>
      </c>
      <c r="AZ27" s="20" cm="1">
        <f t="array" aca="1" ref="AZ27" ca="1">SUM(INDIRECT(ADDRESS(income_min_row, COLUMN()) &amp;":" &amp; ADDRESS(income_max_row, COLUMN())))</f>
        <v>0</v>
      </c>
      <c r="BA27" s="20" cm="1">
        <f t="array" aca="1" ref="BA27" ca="1">SUM(INDIRECT(ADDRESS(income_min_row, COLUMN()) &amp;":" &amp; ADDRESS(income_max_row, COLUMN())))</f>
        <v>0</v>
      </c>
      <c r="BB27" s="20" cm="1">
        <f t="array" aca="1" ref="BB27" ca="1">SUM(INDIRECT(ADDRESS(income_min_row, COLUMN()) &amp;":" &amp; ADDRESS(income_max_row, COLUMN())))</f>
        <v>0</v>
      </c>
      <c r="BC27" s="20" cm="1">
        <f t="array" aca="1" ref="BC27" ca="1">SUM(INDIRECT(ADDRESS(income_min_row, COLUMN()) &amp;":" &amp; ADDRESS(income_max_row, COLUMN())))</f>
        <v>0</v>
      </c>
      <c r="BD27" s="20" cm="1">
        <f t="array" aca="1" ref="BD27" ca="1">SUM(INDIRECT(ADDRESS(income_min_row, COLUMN()) &amp;":" &amp; ADDRESS(income_max_row, COLUMN())))</f>
        <v>0</v>
      </c>
      <c r="BE27" s="20" cm="1">
        <f t="array" aca="1" ref="BE27" ca="1">SUM(INDIRECT(ADDRESS(income_min_row, COLUMN()) &amp;":" &amp; ADDRESS(income_max_row, COLUMN())))</f>
        <v>0</v>
      </c>
      <c r="BF27" s="20" cm="1">
        <f t="array" aca="1" ref="BF27" ca="1">SUM(INDIRECT(ADDRESS(income_min_row, COLUMN()) &amp;":" &amp; ADDRESS(income_max_row, COLUMN())))</f>
        <v>0</v>
      </c>
      <c r="BG27" s="20" cm="1">
        <f t="array" aca="1" ref="BG27" ca="1">SUM(INDIRECT(ADDRESS(income_min_row, COLUMN()) &amp;":" &amp; ADDRESS(income_max_row, COLUMN())))</f>
        <v>0</v>
      </c>
      <c r="BI27" s="20" cm="1">
        <f t="array" aca="1" ref="BI27" ca="1">SUM(INDIRECT(ADDRESS(income_min_row, COLUMN()) &amp;":" &amp; ADDRESS(income_max_row, COLUMN())))</f>
        <v>0</v>
      </c>
      <c r="BJ27" s="20" cm="1">
        <f t="array" aca="1" ref="BJ27" ca="1">SUM(INDIRECT(ADDRESS(income_min_row, COLUMN()) &amp;":" &amp; ADDRESS(income_max_row, COLUMN())))</f>
        <v>0</v>
      </c>
      <c r="BK27" s="20" cm="1">
        <f t="array" aca="1" ref="BK27" ca="1">SUM(INDIRECT(ADDRESS(income_min_row, COLUMN()) &amp;":" &amp; ADDRESS(income_max_row, COLUMN())))</f>
        <v>0</v>
      </c>
      <c r="BL27" s="20" cm="1">
        <f t="array" aca="1" ref="BL27" ca="1">SUM(INDIRECT(ADDRESS(income_min_row, COLUMN()) &amp;":" &amp; ADDRESS(income_max_row, COLUMN())))</f>
        <v>0</v>
      </c>
      <c r="BM27" s="20" cm="1">
        <f t="array" aca="1" ref="BM27" ca="1">SUM(INDIRECT(ADDRESS(income_min_row, COLUMN()) &amp;":" &amp; ADDRESS(income_max_row, COLUMN())))</f>
        <v>0</v>
      </c>
      <c r="BN27" s="20" cm="1">
        <f t="array" aca="1" ref="BN27" ca="1">SUM(INDIRECT(ADDRESS(income_min_row, COLUMN()) &amp;":" &amp; ADDRESS(income_max_row, COLUMN())))</f>
        <v>0</v>
      </c>
      <c r="BO27" s="20" cm="1">
        <f t="array" aca="1" ref="BO27" ca="1">SUM(INDIRECT(ADDRESS(income_min_row, COLUMN()) &amp;":" &amp; ADDRESS(income_max_row, COLUMN())))</f>
        <v>0</v>
      </c>
      <c r="BP27" s="20" cm="1">
        <f t="array" aca="1" ref="BP27" ca="1">SUM(INDIRECT(ADDRESS(income_min_row, COLUMN()) &amp;":" &amp; ADDRESS(income_max_row, COLUMN())))</f>
        <v>0</v>
      </c>
      <c r="BQ27" s="20" cm="1">
        <f t="array" aca="1" ref="BQ27" ca="1">SUM(INDIRECT(ADDRESS(income_min_row, COLUMN()) &amp;":" &amp; ADDRESS(income_max_row, COLUMN())))</f>
        <v>0</v>
      </c>
      <c r="BR27" s="20" cm="1">
        <f t="array" aca="1" ref="BR27" ca="1">SUM(INDIRECT(ADDRESS(income_min_row, COLUMN()) &amp;":" &amp; ADDRESS(income_max_row, COLUMN())))</f>
        <v>0</v>
      </c>
      <c r="BS27" s="20" cm="1">
        <f t="array" aca="1" ref="BS27" ca="1">SUM(INDIRECT(ADDRESS(income_min_row, COLUMN()) &amp;":" &amp; ADDRESS(income_max_row, COLUMN())))</f>
        <v>0</v>
      </c>
      <c r="BT27" s="20" cm="1">
        <f t="array" aca="1" ref="BT27" ca="1">SUM(INDIRECT(ADDRESS(income_min_row, COLUMN()) &amp;":" &amp; ADDRESS(income_max_row, COLUMN())))</f>
        <v>0</v>
      </c>
      <c r="BU27" s="20" cm="1">
        <f t="array" aca="1" ref="BU27" ca="1">SUM(INDIRECT(ADDRESS(income_min_row, COLUMN()) &amp;":" &amp; ADDRESS(income_max_row, COLUMN())))</f>
        <v>0</v>
      </c>
      <c r="BW27" s="20" cm="1">
        <f t="array" aca="1" ref="BW27" ca="1">SUM(INDIRECT(ADDRESS(income_min_row, COLUMN()) &amp;":" &amp; ADDRESS(income_max_row, COLUMN())))</f>
        <v>0</v>
      </c>
      <c r="BX27" s="20" cm="1">
        <f t="array" aca="1" ref="BX27" ca="1">SUM(INDIRECT(ADDRESS(income_min_row, COLUMN()) &amp;":" &amp; ADDRESS(income_max_row, COLUMN())))</f>
        <v>0</v>
      </c>
      <c r="BY27" s="20" cm="1">
        <f t="array" aca="1" ref="BY27" ca="1">SUM(INDIRECT(ADDRESS(income_min_row, COLUMN()) &amp;":" &amp; ADDRESS(income_max_row, COLUMN())))</f>
        <v>0</v>
      </c>
      <c r="BZ27" s="20" cm="1">
        <f t="array" aca="1" ref="BZ27" ca="1">SUM(INDIRECT(ADDRESS(income_min_row, COLUMN()) &amp;":" &amp; ADDRESS(income_max_row, COLUMN())))</f>
        <v>0</v>
      </c>
      <c r="CA27" s="20" cm="1">
        <f t="array" aca="1" ref="CA27" ca="1">SUM(INDIRECT(ADDRESS(income_min_row, COLUMN()) &amp;":" &amp; ADDRESS(income_max_row, COLUMN())))</f>
        <v>0</v>
      </c>
      <c r="CB27" s="20" cm="1">
        <f t="array" aca="1" ref="CB27" ca="1">SUM(INDIRECT(ADDRESS(income_min_row, COLUMN()) &amp;":" &amp; ADDRESS(income_max_row, COLUMN())))</f>
        <v>0</v>
      </c>
      <c r="CC27" s="20" cm="1">
        <f t="array" aca="1" ref="CC27" ca="1">SUM(INDIRECT(ADDRESS(income_min_row, COLUMN()) &amp;":" &amp; ADDRESS(income_max_row, COLUMN())))</f>
        <v>0</v>
      </c>
      <c r="CD27" s="20" cm="1">
        <f t="array" aca="1" ref="CD27" ca="1">SUM(INDIRECT(ADDRESS(income_min_row, COLUMN()) &amp;":" &amp; ADDRESS(income_max_row, COLUMN())))</f>
        <v>0</v>
      </c>
      <c r="CE27" s="20" cm="1">
        <f t="array" aca="1" ref="CE27" ca="1">SUM(INDIRECT(ADDRESS(income_min_row, COLUMN()) &amp;":" &amp; ADDRESS(income_max_row, COLUMN())))</f>
        <v>0</v>
      </c>
      <c r="CF27" s="20" cm="1">
        <f t="array" aca="1" ref="CF27" ca="1">SUM(INDIRECT(ADDRESS(income_min_row, COLUMN()) &amp;":" &amp; ADDRESS(income_max_row, COLUMN())))</f>
        <v>0</v>
      </c>
      <c r="CG27" s="20" cm="1">
        <f t="array" aca="1" ref="CG27" ca="1">SUM(INDIRECT(ADDRESS(income_min_row, COLUMN()) &amp;":" &amp; ADDRESS(income_max_row, COLUMN())))</f>
        <v>0</v>
      </c>
      <c r="CH27" s="20" cm="1">
        <f t="array" aca="1" ref="CH27" ca="1">SUM(INDIRECT(ADDRESS(income_min_row, COLUMN()) &amp;":" &amp; ADDRESS(income_max_row, COLUMN())))</f>
        <v>0</v>
      </c>
      <c r="CI27" s="20" cm="1">
        <f t="array" aca="1" ref="CI27" ca="1">SUM(INDIRECT(ADDRESS(income_min_row, COLUMN()) &amp;":" &amp; ADDRESS(income_max_row, COLUMN())))</f>
        <v>0</v>
      </c>
      <c r="CK27" s="20" cm="1">
        <f t="array" aca="1" ref="CK27" ca="1">SUM(INDIRECT(ADDRESS(income_min_row, COLUMN()) &amp;":" &amp; ADDRESS(income_max_row, COLUMN())))</f>
        <v>0</v>
      </c>
      <c r="CL27" s="20" cm="1">
        <f t="array" aca="1" ref="CL27" ca="1">SUM(INDIRECT(ADDRESS(income_min_row, COLUMN()) &amp;":" &amp; ADDRESS(income_max_row, COLUMN())))</f>
        <v>0</v>
      </c>
      <c r="CM27" s="20" cm="1">
        <f t="array" aca="1" ref="CM27" ca="1">SUM(INDIRECT(ADDRESS(income_min_row, COLUMN()) &amp;":" &amp; ADDRESS(income_max_row, COLUMN())))</f>
        <v>0</v>
      </c>
      <c r="CN27" s="20" cm="1">
        <f t="array" aca="1" ref="CN27" ca="1">SUM(INDIRECT(ADDRESS(income_min_row, COLUMN()) &amp;":" &amp; ADDRESS(income_max_row, COLUMN())))</f>
        <v>0</v>
      </c>
      <c r="CO27" s="20" cm="1">
        <f t="array" aca="1" ref="CO27" ca="1">SUM(INDIRECT(ADDRESS(income_min_row, COLUMN()) &amp;":" &amp; ADDRESS(income_max_row, COLUMN())))</f>
        <v>0</v>
      </c>
      <c r="CP27" s="20" cm="1">
        <f t="array" aca="1" ref="CP27" ca="1">SUM(INDIRECT(ADDRESS(income_min_row, COLUMN()) &amp;":" &amp; ADDRESS(income_max_row, COLUMN())))</f>
        <v>0</v>
      </c>
      <c r="CQ27" s="20" cm="1">
        <f t="array" aca="1" ref="CQ27" ca="1">SUM(INDIRECT(ADDRESS(income_min_row, COLUMN()) &amp;":" &amp; ADDRESS(income_max_row, COLUMN())))</f>
        <v>0</v>
      </c>
      <c r="CR27" s="20" cm="1">
        <f t="array" aca="1" ref="CR27" ca="1">SUM(INDIRECT(ADDRESS(income_min_row, COLUMN()) &amp;":" &amp; ADDRESS(income_max_row, COLUMN())))</f>
        <v>0</v>
      </c>
      <c r="CS27" s="20" cm="1">
        <f t="array" aca="1" ref="CS27" ca="1">SUM(INDIRECT(ADDRESS(income_min_row, COLUMN()) &amp;":" &amp; ADDRESS(income_max_row, COLUMN())))</f>
        <v>0</v>
      </c>
      <c r="CT27" s="20" cm="1">
        <f t="array" aca="1" ref="CT27" ca="1">SUM(INDIRECT(ADDRESS(income_min_row, COLUMN()) &amp;":" &amp; ADDRESS(income_max_row, COLUMN())))</f>
        <v>0</v>
      </c>
      <c r="CU27" s="20" cm="1">
        <f t="array" aca="1" ref="CU27" ca="1">SUM(INDIRECT(ADDRESS(income_min_row, COLUMN()) &amp;":" &amp; ADDRESS(income_max_row, COLUMN())))</f>
        <v>0</v>
      </c>
      <c r="CV27" s="20" cm="1">
        <f t="array" aca="1" ref="CV27" ca="1">SUM(INDIRECT(ADDRESS(income_min_row, COLUMN()) &amp;":" &amp; ADDRESS(income_max_row, COLUMN())))</f>
        <v>0</v>
      </c>
      <c r="CW27" s="20" cm="1">
        <f t="array" aca="1" ref="CW27" ca="1">SUM(INDIRECT(ADDRESS(income_min_row, COLUMN()) &amp;":" &amp; ADDRESS(income_max_row, COLUMN())))</f>
        <v>0</v>
      </c>
      <c r="CY27" s="20" cm="1">
        <f t="array" aca="1" ref="CY27" ca="1">SUM(INDIRECT(ADDRESS(income_min_row, COLUMN()) &amp;":" &amp; ADDRESS(income_max_row, COLUMN())))</f>
        <v>0</v>
      </c>
      <c r="CZ27" s="20" cm="1">
        <f t="array" aca="1" ref="CZ27" ca="1">SUM(INDIRECT(ADDRESS(income_min_row, COLUMN()) &amp;":" &amp; ADDRESS(income_max_row, COLUMN())))</f>
        <v>0</v>
      </c>
      <c r="DA27" s="20" cm="1">
        <f t="array" aca="1" ref="DA27" ca="1">SUM(INDIRECT(ADDRESS(income_min_row, COLUMN()) &amp;":" &amp; ADDRESS(income_max_row, COLUMN())))</f>
        <v>0</v>
      </c>
      <c r="DB27" s="20" cm="1">
        <f t="array" aca="1" ref="DB27" ca="1">SUM(INDIRECT(ADDRESS(income_min_row, COLUMN()) &amp;":" &amp; ADDRESS(income_max_row, COLUMN())))</f>
        <v>0</v>
      </c>
      <c r="DC27" s="20" cm="1">
        <f t="array" aca="1" ref="DC27" ca="1">SUM(INDIRECT(ADDRESS(income_min_row, COLUMN()) &amp;":" &amp; ADDRESS(income_max_row, COLUMN())))</f>
        <v>0</v>
      </c>
      <c r="DD27" s="20" cm="1">
        <f t="array" aca="1" ref="DD27" ca="1">SUM(INDIRECT(ADDRESS(income_min_row, COLUMN()) &amp;":" &amp; ADDRESS(income_max_row, COLUMN())))</f>
        <v>0</v>
      </c>
      <c r="DE27" s="20" cm="1">
        <f t="array" aca="1" ref="DE27" ca="1">SUM(INDIRECT(ADDRESS(income_min_row, COLUMN()) &amp;":" &amp; ADDRESS(income_max_row, COLUMN())))</f>
        <v>0</v>
      </c>
      <c r="DF27" s="20" cm="1">
        <f t="array" aca="1" ref="DF27" ca="1">SUM(INDIRECT(ADDRESS(income_min_row, COLUMN()) &amp;":" &amp; ADDRESS(income_max_row, COLUMN())))</f>
        <v>0</v>
      </c>
      <c r="DG27" s="20" cm="1">
        <f t="array" aca="1" ref="DG27" ca="1">SUM(INDIRECT(ADDRESS(income_min_row, COLUMN()) &amp;":" &amp; ADDRESS(income_max_row, COLUMN())))</f>
        <v>0</v>
      </c>
      <c r="DH27" s="20" cm="1">
        <f t="array" aca="1" ref="DH27" ca="1">SUM(INDIRECT(ADDRESS(income_min_row, COLUMN()) &amp;":" &amp; ADDRESS(income_max_row, COLUMN())))</f>
        <v>0</v>
      </c>
      <c r="DI27" s="20" cm="1">
        <f t="array" aca="1" ref="DI27" ca="1">SUM(INDIRECT(ADDRESS(income_min_row, COLUMN()) &amp;":" &amp; ADDRESS(income_max_row, COLUMN())))</f>
        <v>0</v>
      </c>
      <c r="DJ27" s="20" cm="1">
        <f t="array" aca="1" ref="DJ27" ca="1">SUM(INDIRECT(ADDRESS(income_min_row, COLUMN()) &amp;":" &amp; ADDRESS(income_max_row, COLUMN())))</f>
        <v>0</v>
      </c>
      <c r="DK27" s="20" cm="1">
        <f t="array" aca="1" ref="DK27" ca="1">SUM(INDIRECT(ADDRESS(income_min_row, COLUMN()) &amp;":" &amp; ADDRESS(income_max_row, COLUMN())))</f>
        <v>0</v>
      </c>
      <c r="DM27" s="20" cm="1">
        <f t="array" aca="1" ref="DM27" ca="1">SUM(INDIRECT(ADDRESS(income_min_row, COLUMN()) &amp;":" &amp; ADDRESS(income_max_row, COLUMN())))</f>
        <v>0</v>
      </c>
      <c r="DN27" s="20" cm="1">
        <f t="array" aca="1" ref="DN27" ca="1">SUM(INDIRECT(ADDRESS(income_min_row, COLUMN()) &amp;":" &amp; ADDRESS(income_max_row, COLUMN())))</f>
        <v>0</v>
      </c>
      <c r="DO27" s="20" cm="1">
        <f t="array" aca="1" ref="DO27" ca="1">SUM(INDIRECT(ADDRESS(income_min_row, COLUMN()) &amp;":" &amp; ADDRESS(income_max_row, COLUMN())))</f>
        <v>0</v>
      </c>
      <c r="DP27" s="20" cm="1">
        <f t="array" aca="1" ref="DP27" ca="1">SUM(INDIRECT(ADDRESS(income_min_row, COLUMN()) &amp;":" &amp; ADDRESS(income_max_row, COLUMN())))</f>
        <v>0</v>
      </c>
      <c r="DQ27" s="20" cm="1">
        <f t="array" aca="1" ref="DQ27" ca="1">SUM(INDIRECT(ADDRESS(income_min_row, COLUMN()) &amp;":" &amp; ADDRESS(income_max_row, COLUMN())))</f>
        <v>0</v>
      </c>
      <c r="DR27" s="20" cm="1">
        <f t="array" aca="1" ref="DR27" ca="1">SUM(INDIRECT(ADDRESS(income_min_row, COLUMN()) &amp;":" &amp; ADDRESS(income_max_row, COLUMN())))</f>
        <v>0</v>
      </c>
      <c r="DS27" s="20" cm="1">
        <f t="array" aca="1" ref="DS27" ca="1">SUM(INDIRECT(ADDRESS(income_min_row, COLUMN()) &amp;":" &amp; ADDRESS(income_max_row, COLUMN())))</f>
        <v>0</v>
      </c>
      <c r="DT27" s="20" cm="1">
        <f t="array" aca="1" ref="DT27" ca="1">SUM(INDIRECT(ADDRESS(income_min_row, COLUMN()) &amp;":" &amp; ADDRESS(income_max_row, COLUMN())))</f>
        <v>0</v>
      </c>
      <c r="DU27" s="20" cm="1">
        <f t="array" aca="1" ref="DU27" ca="1">SUM(INDIRECT(ADDRESS(income_min_row, COLUMN()) &amp;":" &amp; ADDRESS(income_max_row, COLUMN())))</f>
        <v>0</v>
      </c>
      <c r="DV27" s="20" cm="1">
        <f t="array" aca="1" ref="DV27" ca="1">SUM(INDIRECT(ADDRESS(income_min_row, COLUMN()) &amp;":" &amp; ADDRESS(income_max_row, COLUMN())))</f>
        <v>0</v>
      </c>
      <c r="DW27" s="20" cm="1">
        <f t="array" aca="1" ref="DW27" ca="1">SUM(INDIRECT(ADDRESS(income_min_row, COLUMN()) &amp;":" &amp; ADDRESS(income_max_row, COLUMN())))</f>
        <v>0</v>
      </c>
      <c r="DX27" s="20" cm="1">
        <f t="array" aca="1" ref="DX27" ca="1">SUM(INDIRECT(ADDRESS(income_min_row, COLUMN()) &amp;":" &amp; ADDRESS(income_max_row, COLUMN())))</f>
        <v>0</v>
      </c>
      <c r="DY27" s="20" cm="1">
        <f t="array" aca="1" ref="DY27" ca="1">SUM(INDIRECT(ADDRESS(income_min_row, COLUMN()) &amp;":" &amp; ADDRESS(income_max_row, COLUMN())))</f>
        <v>0</v>
      </c>
      <c r="EA27" s="20" cm="1">
        <f t="array" aca="1" ref="EA27" ca="1">SUM(INDIRECT(ADDRESS(income_min_row, COLUMN()) &amp;":" &amp; ADDRESS(income_max_row, COLUMN())))</f>
        <v>0</v>
      </c>
      <c r="EB27" s="20" cm="1">
        <f t="array" aca="1" ref="EB27" ca="1">SUM(INDIRECT(ADDRESS(income_min_row, COLUMN()) &amp;":" &amp; ADDRESS(income_max_row, COLUMN())))</f>
        <v>0</v>
      </c>
      <c r="EC27" s="20" cm="1">
        <f t="array" aca="1" ref="EC27" ca="1">SUM(INDIRECT(ADDRESS(income_min_row, COLUMN()) &amp;":" &amp; ADDRESS(income_max_row, COLUMN())))</f>
        <v>0</v>
      </c>
      <c r="ED27" s="20" cm="1">
        <f t="array" aca="1" ref="ED27" ca="1">SUM(INDIRECT(ADDRESS(income_min_row, COLUMN()) &amp;":" &amp; ADDRESS(income_max_row, COLUMN())))</f>
        <v>0</v>
      </c>
      <c r="EE27" s="20" cm="1">
        <f t="array" aca="1" ref="EE27" ca="1">SUM(INDIRECT(ADDRESS(income_min_row, COLUMN()) &amp;":" &amp; ADDRESS(income_max_row, COLUMN())))</f>
        <v>0</v>
      </c>
      <c r="EF27" s="20" cm="1">
        <f t="array" aca="1" ref="EF27" ca="1">SUM(INDIRECT(ADDRESS(income_min_row, COLUMN()) &amp;":" &amp; ADDRESS(income_max_row, COLUMN())))</f>
        <v>0</v>
      </c>
      <c r="EG27" s="20" cm="1">
        <f t="array" aca="1" ref="EG27" ca="1">SUM(INDIRECT(ADDRESS(income_min_row, COLUMN()) &amp;":" &amp; ADDRESS(income_max_row, COLUMN())))</f>
        <v>0</v>
      </c>
      <c r="EH27" s="20" cm="1">
        <f t="array" aca="1" ref="EH27" ca="1">SUM(INDIRECT(ADDRESS(income_min_row, COLUMN()) &amp;":" &amp; ADDRESS(income_max_row, COLUMN())))</f>
        <v>0</v>
      </c>
      <c r="EI27" s="20" cm="1">
        <f t="array" aca="1" ref="EI27" ca="1">SUM(INDIRECT(ADDRESS(income_min_row, COLUMN()) &amp;":" &amp; ADDRESS(income_max_row, COLUMN())))</f>
        <v>0</v>
      </c>
      <c r="EJ27" s="20" cm="1">
        <f t="array" aca="1" ref="EJ27" ca="1">SUM(INDIRECT(ADDRESS(income_min_row, COLUMN()) &amp;":" &amp; ADDRESS(income_max_row, COLUMN())))</f>
        <v>0</v>
      </c>
      <c r="EK27" s="20" cm="1">
        <f t="array" aca="1" ref="EK27" ca="1">SUM(INDIRECT(ADDRESS(income_min_row, COLUMN()) &amp;":" &amp; ADDRESS(income_max_row, COLUMN())))</f>
        <v>0</v>
      </c>
      <c r="EL27" s="20" cm="1">
        <f t="array" aca="1" ref="EL27" ca="1">SUM(INDIRECT(ADDRESS(income_min_row, COLUMN()) &amp;":" &amp; ADDRESS(income_max_row, COLUMN())))</f>
        <v>0</v>
      </c>
      <c r="EM27" s="20" cm="1">
        <f t="array" aca="1" ref="EM27" ca="1">SUM(INDIRECT(ADDRESS(income_min_row, COLUMN()) &amp;":" &amp; ADDRESS(income_max_row, COLUMN())))</f>
        <v>0</v>
      </c>
      <c r="EO27" s="20" cm="1">
        <f t="array" aca="1" ref="EO27" ca="1">SUM(INDIRECT(ADDRESS(income_min_row, COLUMN()) &amp;":" &amp; ADDRESS(income_max_row, COLUMN())))</f>
        <v>0</v>
      </c>
      <c r="EP27" s="20" cm="1">
        <f t="array" aca="1" ref="EP27" ca="1">SUM(INDIRECT(ADDRESS(income_min_row, COLUMN()) &amp;":" &amp; ADDRESS(income_max_row, COLUMN())))</f>
        <v>0</v>
      </c>
      <c r="EQ27" s="20" cm="1">
        <f t="array" aca="1" ref="EQ27" ca="1">SUM(INDIRECT(ADDRESS(income_min_row, COLUMN()) &amp;":" &amp; ADDRESS(income_max_row, COLUMN())))</f>
        <v>0</v>
      </c>
      <c r="ER27" s="20" cm="1">
        <f t="array" aca="1" ref="ER27" ca="1">SUM(INDIRECT(ADDRESS(income_min_row, COLUMN()) &amp;":" &amp; ADDRESS(income_max_row, COLUMN())))</f>
        <v>0</v>
      </c>
      <c r="ES27" s="20" cm="1">
        <f t="array" aca="1" ref="ES27" ca="1">SUM(INDIRECT(ADDRESS(income_min_row, COLUMN()) &amp;":" &amp; ADDRESS(income_max_row, COLUMN())))</f>
        <v>0</v>
      </c>
      <c r="ET27" s="20" cm="1">
        <f t="array" aca="1" ref="ET27" ca="1">SUM(INDIRECT(ADDRESS(income_min_row, COLUMN()) &amp;":" &amp; ADDRESS(income_max_row, COLUMN())))</f>
        <v>0</v>
      </c>
      <c r="EU27" s="20" cm="1">
        <f t="array" aca="1" ref="EU27" ca="1">SUM(INDIRECT(ADDRESS(income_min_row, COLUMN()) &amp;":" &amp; ADDRESS(income_max_row, COLUMN())))</f>
        <v>0</v>
      </c>
      <c r="EV27" s="20" cm="1">
        <f t="array" aca="1" ref="EV27" ca="1">SUM(INDIRECT(ADDRESS(income_min_row, COLUMN()) &amp;":" &amp; ADDRESS(income_max_row, COLUMN())))</f>
        <v>0</v>
      </c>
      <c r="EW27" s="20" cm="1">
        <f t="array" aca="1" ref="EW27" ca="1">SUM(INDIRECT(ADDRESS(income_min_row, COLUMN()) &amp;":" &amp; ADDRESS(income_max_row, COLUMN())))</f>
        <v>0</v>
      </c>
      <c r="EX27" s="20" cm="1">
        <f t="array" aca="1" ref="EX27" ca="1">SUM(INDIRECT(ADDRESS(income_min_row, COLUMN()) &amp;":" &amp; ADDRESS(income_max_row, COLUMN())))</f>
        <v>0</v>
      </c>
      <c r="EY27" s="20" cm="1">
        <f t="array" aca="1" ref="EY27" ca="1">SUM(INDIRECT(ADDRESS(income_min_row, COLUMN()) &amp;":" &amp; ADDRESS(income_max_row, COLUMN())))</f>
        <v>0</v>
      </c>
      <c r="EZ27" s="20" cm="1">
        <f t="array" aca="1" ref="EZ27" ca="1">SUM(INDIRECT(ADDRESS(income_min_row, COLUMN()) &amp;":" &amp; ADDRESS(income_max_row, COLUMN())))</f>
        <v>0</v>
      </c>
      <c r="FA27" s="20" cm="1">
        <f t="array" aca="1" ref="FA27" ca="1">SUM(INDIRECT(ADDRESS(income_min_row, COLUMN()) &amp;":" &amp; ADDRESS(income_max_row, COLUMN())))</f>
        <v>0</v>
      </c>
    </row>
    <row r="29" spans="3:157" x14ac:dyDescent="0.2">
      <c r="C29" s="12" t="s">
        <v>15</v>
      </c>
      <c r="E29" s="21">
        <f>DATE(E$6, 1, 1)</f>
        <v>45658</v>
      </c>
      <c r="F29" s="21">
        <f>DATE(E$6, 2, 1)</f>
        <v>45689</v>
      </c>
      <c r="G29" s="21">
        <f>DATE(E$6, 3, 1)</f>
        <v>45717</v>
      </c>
      <c r="H29" s="21">
        <f>DATE(E$6, 4, 1)</f>
        <v>45748</v>
      </c>
      <c r="I29" s="21">
        <f>DATE(E$6, 5, 1)</f>
        <v>45778</v>
      </c>
      <c r="J29" s="21">
        <f>DATE(E$6, 6, 1)</f>
        <v>45809</v>
      </c>
      <c r="K29" s="21">
        <f>DATE(E$6, 7, 1)</f>
        <v>45839</v>
      </c>
      <c r="L29" s="21">
        <f>DATE(E$6, 8, 1)</f>
        <v>45870</v>
      </c>
      <c r="M29" s="21">
        <f>DATE(E$6, 9, 1)</f>
        <v>45901</v>
      </c>
      <c r="N29" s="21">
        <f>DATE(E$6, 10, 1)</f>
        <v>45931</v>
      </c>
      <c r="O29" s="21">
        <f>DATE(E$6, 11, 1)</f>
        <v>45962</v>
      </c>
      <c r="P29" s="21">
        <f>DATE(E$6, 12, 1)</f>
        <v>45992</v>
      </c>
      <c r="Q29" s="22">
        <f>E$6</f>
        <v>2025</v>
      </c>
      <c r="S29" s="21">
        <f>DATE(S$6, 1, 1)</f>
        <v>46023</v>
      </c>
      <c r="T29" s="21">
        <f>DATE(S$6, 2, 1)</f>
        <v>46054</v>
      </c>
      <c r="U29" s="21">
        <f>DATE(S$6, 3, 1)</f>
        <v>46082</v>
      </c>
      <c r="V29" s="21">
        <f>DATE(S$6, 4, 1)</f>
        <v>46113</v>
      </c>
      <c r="W29" s="21">
        <f>DATE(S$6, 5, 1)</f>
        <v>46143</v>
      </c>
      <c r="X29" s="21">
        <f>DATE(S$6, 6, 1)</f>
        <v>46174</v>
      </c>
      <c r="Y29" s="21">
        <f>DATE(S$6, 7, 1)</f>
        <v>46204</v>
      </c>
      <c r="Z29" s="21">
        <f>DATE(S$6, 8, 1)</f>
        <v>46235</v>
      </c>
      <c r="AA29" s="21">
        <f>DATE(S$6, 9, 1)</f>
        <v>46266</v>
      </c>
      <c r="AB29" s="21">
        <f>DATE(S$6, 10, 1)</f>
        <v>46296</v>
      </c>
      <c r="AC29" s="21">
        <f>DATE(S$6, 11, 1)</f>
        <v>46327</v>
      </c>
      <c r="AD29" s="21">
        <f>DATE(S$6, 12, 1)</f>
        <v>46357</v>
      </c>
      <c r="AE29" s="22">
        <f>S$6</f>
        <v>2026</v>
      </c>
      <c r="AG29" s="21">
        <f t="shared" ref="AG29" si="274">DATE(AG$6, 1, 1)</f>
        <v>46388</v>
      </c>
      <c r="AH29" s="21">
        <f t="shared" ref="AH29" si="275">DATE(AG$6, 2, 1)</f>
        <v>46419</v>
      </c>
      <c r="AI29" s="21">
        <f t="shared" ref="AI29" si="276">DATE(AG$6, 3, 1)</f>
        <v>46447</v>
      </c>
      <c r="AJ29" s="21">
        <f t="shared" ref="AJ29" si="277">DATE(AG$6, 4, 1)</f>
        <v>46478</v>
      </c>
      <c r="AK29" s="21">
        <f t="shared" ref="AK29" si="278">DATE(AG$6, 5, 1)</f>
        <v>46508</v>
      </c>
      <c r="AL29" s="21">
        <f t="shared" ref="AL29" si="279">DATE(AG$6, 6, 1)</f>
        <v>46539</v>
      </c>
      <c r="AM29" s="21">
        <f t="shared" ref="AM29" si="280">DATE(AG$6, 7, 1)</f>
        <v>46569</v>
      </c>
      <c r="AN29" s="21">
        <f t="shared" ref="AN29" si="281">DATE(AG$6, 8, 1)</f>
        <v>46600</v>
      </c>
      <c r="AO29" s="21">
        <f t="shared" ref="AO29" si="282">DATE(AG$6, 9, 1)</f>
        <v>46631</v>
      </c>
      <c r="AP29" s="21">
        <f t="shared" ref="AP29" si="283">DATE(AG$6, 10, 1)</f>
        <v>46661</v>
      </c>
      <c r="AQ29" s="21">
        <f t="shared" ref="AQ29" si="284">DATE(AG$6, 11, 1)</f>
        <v>46692</v>
      </c>
      <c r="AR29" s="21">
        <f t="shared" ref="AR29" si="285">DATE(AG$6, 12, 1)</f>
        <v>46722</v>
      </c>
      <c r="AS29" s="22">
        <f t="shared" ref="AS29" si="286">AG$6</f>
        <v>2027</v>
      </c>
      <c r="AU29" s="21">
        <f t="shared" ref="AU29" si="287">DATE(AU$6, 1, 1)</f>
        <v>46753</v>
      </c>
      <c r="AV29" s="21">
        <f t="shared" ref="AV29" si="288">DATE(AU$6, 2, 1)</f>
        <v>46784</v>
      </c>
      <c r="AW29" s="21">
        <f t="shared" ref="AW29" si="289">DATE(AU$6, 3, 1)</f>
        <v>46813</v>
      </c>
      <c r="AX29" s="21">
        <f t="shared" ref="AX29" si="290">DATE(AU$6, 4, 1)</f>
        <v>46844</v>
      </c>
      <c r="AY29" s="21">
        <f t="shared" ref="AY29" si="291">DATE(AU$6, 5, 1)</f>
        <v>46874</v>
      </c>
      <c r="AZ29" s="21">
        <f t="shared" ref="AZ29" si="292">DATE(AU$6, 6, 1)</f>
        <v>46905</v>
      </c>
      <c r="BA29" s="21">
        <f t="shared" ref="BA29" si="293">DATE(AU$6, 7, 1)</f>
        <v>46935</v>
      </c>
      <c r="BB29" s="21">
        <f t="shared" ref="BB29" si="294">DATE(AU$6, 8, 1)</f>
        <v>46966</v>
      </c>
      <c r="BC29" s="21">
        <f t="shared" ref="BC29" si="295">DATE(AU$6, 9, 1)</f>
        <v>46997</v>
      </c>
      <c r="BD29" s="21">
        <f t="shared" ref="BD29" si="296">DATE(AU$6, 10, 1)</f>
        <v>47027</v>
      </c>
      <c r="BE29" s="21">
        <f t="shared" ref="BE29" si="297">DATE(AU$6, 11, 1)</f>
        <v>47058</v>
      </c>
      <c r="BF29" s="21">
        <f t="shared" ref="BF29" si="298">DATE(AU$6, 12, 1)</f>
        <v>47088</v>
      </c>
      <c r="BG29" s="22">
        <f t="shared" ref="BG29" si="299">AU$6</f>
        <v>2028</v>
      </c>
      <c r="BI29" s="21">
        <f t="shared" ref="BI29" si="300">DATE(BI$6, 1, 1)</f>
        <v>47119</v>
      </c>
      <c r="BJ29" s="21">
        <f t="shared" ref="BJ29" si="301">DATE(BI$6, 2, 1)</f>
        <v>47150</v>
      </c>
      <c r="BK29" s="21">
        <f t="shared" ref="BK29" si="302">DATE(BI$6, 3, 1)</f>
        <v>47178</v>
      </c>
      <c r="BL29" s="21">
        <f t="shared" ref="BL29" si="303">DATE(BI$6, 4, 1)</f>
        <v>47209</v>
      </c>
      <c r="BM29" s="21">
        <f t="shared" ref="BM29" si="304">DATE(BI$6, 5, 1)</f>
        <v>47239</v>
      </c>
      <c r="BN29" s="21">
        <f t="shared" ref="BN29" si="305">DATE(BI$6, 6, 1)</f>
        <v>47270</v>
      </c>
      <c r="BO29" s="21">
        <f t="shared" ref="BO29" si="306">DATE(BI$6, 7, 1)</f>
        <v>47300</v>
      </c>
      <c r="BP29" s="21">
        <f t="shared" ref="BP29" si="307">DATE(BI$6, 8, 1)</f>
        <v>47331</v>
      </c>
      <c r="BQ29" s="21">
        <f t="shared" ref="BQ29" si="308">DATE(BI$6, 9, 1)</f>
        <v>47362</v>
      </c>
      <c r="BR29" s="21">
        <f t="shared" ref="BR29" si="309">DATE(BI$6, 10, 1)</f>
        <v>47392</v>
      </c>
      <c r="BS29" s="21">
        <f t="shared" ref="BS29" si="310">DATE(BI$6, 11, 1)</f>
        <v>47423</v>
      </c>
      <c r="BT29" s="21">
        <f t="shared" ref="BT29" si="311">DATE(BI$6, 12, 1)</f>
        <v>47453</v>
      </c>
      <c r="BU29" s="22">
        <f t="shared" ref="BU29" si="312">BI$6</f>
        <v>2029</v>
      </c>
      <c r="BW29" s="21">
        <f t="shared" ref="BW29" si="313">DATE(BW$6, 1, 1)</f>
        <v>47484</v>
      </c>
      <c r="BX29" s="21">
        <f t="shared" ref="BX29" si="314">DATE(BW$6, 2, 1)</f>
        <v>47515</v>
      </c>
      <c r="BY29" s="21">
        <f t="shared" ref="BY29" si="315">DATE(BW$6, 3, 1)</f>
        <v>47543</v>
      </c>
      <c r="BZ29" s="21">
        <f t="shared" ref="BZ29" si="316">DATE(BW$6, 4, 1)</f>
        <v>47574</v>
      </c>
      <c r="CA29" s="21">
        <f t="shared" ref="CA29" si="317">DATE(BW$6, 5, 1)</f>
        <v>47604</v>
      </c>
      <c r="CB29" s="21">
        <f t="shared" ref="CB29" si="318">DATE(BW$6, 6, 1)</f>
        <v>47635</v>
      </c>
      <c r="CC29" s="21">
        <f t="shared" ref="CC29" si="319">DATE(BW$6, 7, 1)</f>
        <v>47665</v>
      </c>
      <c r="CD29" s="21">
        <f t="shared" ref="CD29" si="320">DATE(BW$6, 8, 1)</f>
        <v>47696</v>
      </c>
      <c r="CE29" s="21">
        <f t="shared" ref="CE29" si="321">DATE(BW$6, 9, 1)</f>
        <v>47727</v>
      </c>
      <c r="CF29" s="21">
        <f t="shared" ref="CF29" si="322">DATE(BW$6, 10, 1)</f>
        <v>47757</v>
      </c>
      <c r="CG29" s="21">
        <f t="shared" ref="CG29" si="323">DATE(BW$6, 11, 1)</f>
        <v>47788</v>
      </c>
      <c r="CH29" s="21">
        <f t="shared" ref="CH29" si="324">DATE(BW$6, 12, 1)</f>
        <v>47818</v>
      </c>
      <c r="CI29" s="22">
        <f t="shared" ref="CI29" si="325">BW$6</f>
        <v>2030</v>
      </c>
      <c r="CK29" s="21">
        <f t="shared" ref="CK29" si="326">DATE(CK$6, 1, 1)</f>
        <v>47849</v>
      </c>
      <c r="CL29" s="21">
        <f t="shared" ref="CL29" si="327">DATE(CK$6, 2, 1)</f>
        <v>47880</v>
      </c>
      <c r="CM29" s="21">
        <f t="shared" ref="CM29" si="328">DATE(CK$6, 3, 1)</f>
        <v>47908</v>
      </c>
      <c r="CN29" s="21">
        <f t="shared" ref="CN29" si="329">DATE(CK$6, 4, 1)</f>
        <v>47939</v>
      </c>
      <c r="CO29" s="21">
        <f t="shared" ref="CO29" si="330">DATE(CK$6, 5, 1)</f>
        <v>47969</v>
      </c>
      <c r="CP29" s="21">
        <f t="shared" ref="CP29" si="331">DATE(CK$6, 6, 1)</f>
        <v>48000</v>
      </c>
      <c r="CQ29" s="21">
        <f t="shared" ref="CQ29" si="332">DATE(CK$6, 7, 1)</f>
        <v>48030</v>
      </c>
      <c r="CR29" s="21">
        <f t="shared" ref="CR29" si="333">DATE(CK$6, 8, 1)</f>
        <v>48061</v>
      </c>
      <c r="CS29" s="21">
        <f t="shared" ref="CS29" si="334">DATE(CK$6, 9, 1)</f>
        <v>48092</v>
      </c>
      <c r="CT29" s="21">
        <f t="shared" ref="CT29" si="335">DATE(CK$6, 10, 1)</f>
        <v>48122</v>
      </c>
      <c r="CU29" s="21">
        <f t="shared" ref="CU29" si="336">DATE(CK$6, 11, 1)</f>
        <v>48153</v>
      </c>
      <c r="CV29" s="21">
        <f t="shared" ref="CV29" si="337">DATE(CK$6, 12, 1)</f>
        <v>48183</v>
      </c>
      <c r="CW29" s="22">
        <f t="shared" ref="CW29" si="338">CK$6</f>
        <v>2031</v>
      </c>
      <c r="CY29" s="21">
        <f t="shared" ref="CY29" si="339">DATE(CY$6, 1, 1)</f>
        <v>48214</v>
      </c>
      <c r="CZ29" s="21">
        <f t="shared" ref="CZ29" si="340">DATE(CY$6, 2, 1)</f>
        <v>48245</v>
      </c>
      <c r="DA29" s="21">
        <f t="shared" ref="DA29" si="341">DATE(CY$6, 3, 1)</f>
        <v>48274</v>
      </c>
      <c r="DB29" s="21">
        <f t="shared" ref="DB29" si="342">DATE(CY$6, 4, 1)</f>
        <v>48305</v>
      </c>
      <c r="DC29" s="21">
        <f t="shared" ref="DC29" si="343">DATE(CY$6, 5, 1)</f>
        <v>48335</v>
      </c>
      <c r="DD29" s="21">
        <f t="shared" ref="DD29" si="344">DATE(CY$6, 6, 1)</f>
        <v>48366</v>
      </c>
      <c r="DE29" s="21">
        <f t="shared" ref="DE29" si="345">DATE(CY$6, 7, 1)</f>
        <v>48396</v>
      </c>
      <c r="DF29" s="21">
        <f t="shared" ref="DF29" si="346">DATE(CY$6, 8, 1)</f>
        <v>48427</v>
      </c>
      <c r="DG29" s="21">
        <f t="shared" ref="DG29" si="347">DATE(CY$6, 9, 1)</f>
        <v>48458</v>
      </c>
      <c r="DH29" s="21">
        <f t="shared" ref="DH29" si="348">DATE(CY$6, 10, 1)</f>
        <v>48488</v>
      </c>
      <c r="DI29" s="21">
        <f t="shared" ref="DI29" si="349">DATE(CY$6, 11, 1)</f>
        <v>48519</v>
      </c>
      <c r="DJ29" s="21">
        <f t="shared" ref="DJ29" si="350">DATE(CY$6, 12, 1)</f>
        <v>48549</v>
      </c>
      <c r="DK29" s="22">
        <f t="shared" ref="DK29" si="351">CY$6</f>
        <v>2032</v>
      </c>
      <c r="DM29" s="21">
        <f t="shared" ref="DM29" si="352">DATE(DM$6, 1, 1)</f>
        <v>48580</v>
      </c>
      <c r="DN29" s="21">
        <f t="shared" ref="DN29" si="353">DATE(DM$6, 2, 1)</f>
        <v>48611</v>
      </c>
      <c r="DO29" s="21">
        <f t="shared" ref="DO29" si="354">DATE(DM$6, 3, 1)</f>
        <v>48639</v>
      </c>
      <c r="DP29" s="21">
        <f t="shared" ref="DP29" si="355">DATE(DM$6, 4, 1)</f>
        <v>48670</v>
      </c>
      <c r="DQ29" s="21">
        <f t="shared" ref="DQ29" si="356">DATE(DM$6, 5, 1)</f>
        <v>48700</v>
      </c>
      <c r="DR29" s="21">
        <f t="shared" ref="DR29" si="357">DATE(DM$6, 6, 1)</f>
        <v>48731</v>
      </c>
      <c r="DS29" s="21">
        <f t="shared" ref="DS29" si="358">DATE(DM$6, 7, 1)</f>
        <v>48761</v>
      </c>
      <c r="DT29" s="21">
        <f t="shared" ref="DT29" si="359">DATE(DM$6, 8, 1)</f>
        <v>48792</v>
      </c>
      <c r="DU29" s="21">
        <f t="shared" ref="DU29" si="360">DATE(DM$6, 9, 1)</f>
        <v>48823</v>
      </c>
      <c r="DV29" s="21">
        <f t="shared" ref="DV29" si="361">DATE(DM$6, 10, 1)</f>
        <v>48853</v>
      </c>
      <c r="DW29" s="21">
        <f t="shared" ref="DW29" si="362">DATE(DM$6, 11, 1)</f>
        <v>48884</v>
      </c>
      <c r="DX29" s="21">
        <f t="shared" ref="DX29" si="363">DATE(DM$6, 12, 1)</f>
        <v>48914</v>
      </c>
      <c r="DY29" s="22">
        <f t="shared" ref="DY29" si="364">DM$6</f>
        <v>2033</v>
      </c>
      <c r="EA29" s="21">
        <f t="shared" ref="EA29:EO29" si="365">DATE(EA$6, 1, 1)</f>
        <v>48945</v>
      </c>
      <c r="EB29" s="21">
        <f t="shared" ref="EB29" si="366">DATE(EA$6, 2, 1)</f>
        <v>48976</v>
      </c>
      <c r="EC29" s="21">
        <f t="shared" ref="EC29" si="367">DATE(EA$6, 3, 1)</f>
        <v>49004</v>
      </c>
      <c r="ED29" s="21">
        <f t="shared" ref="ED29" si="368">DATE(EA$6, 4, 1)</f>
        <v>49035</v>
      </c>
      <c r="EE29" s="21">
        <f t="shared" ref="EE29" si="369">DATE(EA$6, 5, 1)</f>
        <v>49065</v>
      </c>
      <c r="EF29" s="21">
        <f t="shared" ref="EF29" si="370">DATE(EA$6, 6, 1)</f>
        <v>49096</v>
      </c>
      <c r="EG29" s="21">
        <f t="shared" ref="EG29" si="371">DATE(EA$6, 7, 1)</f>
        <v>49126</v>
      </c>
      <c r="EH29" s="21">
        <f t="shared" ref="EH29" si="372">DATE(EA$6, 8, 1)</f>
        <v>49157</v>
      </c>
      <c r="EI29" s="21">
        <f t="shared" ref="EI29" si="373">DATE(EA$6, 9, 1)</f>
        <v>49188</v>
      </c>
      <c r="EJ29" s="21">
        <f t="shared" ref="EJ29" si="374">DATE(EA$6, 10, 1)</f>
        <v>49218</v>
      </c>
      <c r="EK29" s="21">
        <f t="shared" ref="EK29" si="375">DATE(EA$6, 11, 1)</f>
        <v>49249</v>
      </c>
      <c r="EL29" s="21">
        <f t="shared" ref="EL29" si="376">DATE(EA$6, 12, 1)</f>
        <v>49279</v>
      </c>
      <c r="EM29" s="22">
        <f t="shared" ref="EM29" si="377">EA$6</f>
        <v>2034</v>
      </c>
      <c r="EO29" s="21">
        <f t="shared" si="365"/>
        <v>49310</v>
      </c>
      <c r="EP29" s="21">
        <f t="shared" ref="EP29" si="378">DATE(EO$6, 2, 1)</f>
        <v>49341</v>
      </c>
      <c r="EQ29" s="21">
        <f t="shared" ref="EQ29" si="379">DATE(EO$6, 3, 1)</f>
        <v>49369</v>
      </c>
      <c r="ER29" s="21">
        <f t="shared" ref="ER29" si="380">DATE(EO$6, 4, 1)</f>
        <v>49400</v>
      </c>
      <c r="ES29" s="21">
        <f t="shared" ref="ES29" si="381">DATE(EO$6, 5, 1)</f>
        <v>49430</v>
      </c>
      <c r="ET29" s="21">
        <f t="shared" ref="ET29" si="382">DATE(EO$6, 6, 1)</f>
        <v>49461</v>
      </c>
      <c r="EU29" s="21">
        <f t="shared" ref="EU29" si="383">DATE(EO$6, 7, 1)</f>
        <v>49491</v>
      </c>
      <c r="EV29" s="21">
        <f t="shared" ref="EV29" si="384">DATE(EO$6, 8, 1)</f>
        <v>49522</v>
      </c>
      <c r="EW29" s="21">
        <f t="shared" ref="EW29" si="385">DATE(EO$6, 9, 1)</f>
        <v>49553</v>
      </c>
      <c r="EX29" s="21">
        <f t="shared" ref="EX29" si="386">DATE(EO$6, 10, 1)</f>
        <v>49583</v>
      </c>
      <c r="EY29" s="21">
        <f t="shared" ref="EY29" si="387">DATE(EO$6, 11, 1)</f>
        <v>49614</v>
      </c>
      <c r="EZ29" s="21">
        <f t="shared" ref="EZ29" si="388">DATE(EO$6, 12, 1)</f>
        <v>49644</v>
      </c>
      <c r="FA29" s="22">
        <f t="shared" ref="FA29" si="389">EO$6</f>
        <v>2035</v>
      </c>
    </row>
    <row r="30" spans="3:157" x14ac:dyDescent="0.2">
      <c r="C30" s="17" t="s">
        <v>16</v>
      </c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>
        <f>SUM(E30:P30)</f>
        <v>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>
        <f>SUM(S30:AD30)</f>
        <v>0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>
        <f t="shared" ref="AS30:AS31" si="390">SUM(AG30:AR30)</f>
        <v>0</v>
      </c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>
        <f t="shared" ref="BG30:BG31" si="391">SUM(AU30:BF30)</f>
        <v>0</v>
      </c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>
        <f t="shared" ref="BU30:BU31" si="392">SUM(BI30:BT30)</f>
        <v>0</v>
      </c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>
        <f t="shared" ref="CI30:CI31" si="393">SUM(BW30:CH30)</f>
        <v>0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>
        <f t="shared" ref="CW30:CW31" si="394">SUM(CK30:CV30)</f>
        <v>0</v>
      </c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>
        <f t="shared" ref="DK30:DK31" si="395">SUM(CY30:DJ30)</f>
        <v>0</v>
      </c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>
        <f t="shared" ref="DY30:DY31" si="396">SUM(DM30:DX30)</f>
        <v>0</v>
      </c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>
        <f t="shared" ref="EM30:EM31" si="397">SUM(EA30:EL30)</f>
        <v>0</v>
      </c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>
        <f t="shared" ref="FA30:FA31" si="398">SUM(EO30:EZ30)</f>
        <v>0</v>
      </c>
    </row>
    <row r="31" spans="3:157" x14ac:dyDescent="0.2">
      <c r="C31" s="17" t="s">
        <v>17</v>
      </c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>
        <f>SUM(E31:P31)</f>
        <v>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>
        <f>SUM(S31:AD31)</f>
        <v>0</v>
      </c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>
        <f t="shared" si="390"/>
        <v>0</v>
      </c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>
        <f t="shared" si="391"/>
        <v>0</v>
      </c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>
        <f t="shared" si="392"/>
        <v>0</v>
      </c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>
        <f t="shared" si="393"/>
        <v>0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>
        <f t="shared" si="394"/>
        <v>0</v>
      </c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>
        <f t="shared" si="395"/>
        <v>0</v>
      </c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>
        <f t="shared" si="396"/>
        <v>0</v>
      </c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>
        <f t="shared" si="397"/>
        <v>0</v>
      </c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>
        <f t="shared" si="398"/>
        <v>0</v>
      </c>
    </row>
    <row r="32" spans="3:157" x14ac:dyDescent="0.2">
      <c r="C32" s="17" t="s">
        <v>18</v>
      </c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>
        <f t="shared" ref="Q32" si="399">SUM(E32:P32)</f>
        <v>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>
        <f t="shared" ref="AE32:AE44" si="400">SUM(S32:AD32)</f>
        <v>0</v>
      </c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>
        <f t="shared" ref="AS32:AS45" si="401">SUM(AG32:AR32)</f>
        <v>0</v>
      </c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>
        <f t="shared" ref="BG32:BG45" si="402">SUM(AU32:BF32)</f>
        <v>0</v>
      </c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>
        <f t="shared" ref="BU32:BU45" si="403">SUM(BI32:BT32)</f>
        <v>0</v>
      </c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>
        <f t="shared" ref="CI32:CI45" si="404">SUM(BW32:CH32)</f>
        <v>0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>
        <f t="shared" ref="CW32:CW45" si="405">SUM(CK32:CV32)</f>
        <v>0</v>
      </c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>
        <f t="shared" ref="DK32:DK45" si="406">SUM(CY32:DJ32)</f>
        <v>0</v>
      </c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>
        <f t="shared" ref="DY32:DY45" si="407">SUM(DM32:DX32)</f>
        <v>0</v>
      </c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>
        <f t="shared" ref="EM32:EM45" si="408">SUM(EA32:EL32)</f>
        <v>0</v>
      </c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>
        <f t="shared" ref="FA32:FA45" si="409">SUM(EO32:EZ32)</f>
        <v>0</v>
      </c>
    </row>
    <row r="33" spans="3:157" hidden="1" x14ac:dyDescent="0.2">
      <c r="C33" s="17" t="s">
        <v>19</v>
      </c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>
        <f t="shared" ref="Q33:Q44" si="410">SUM(E33:P33)</f>
        <v>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>
        <f t="shared" si="400"/>
        <v>0</v>
      </c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>
        <f t="shared" si="401"/>
        <v>0</v>
      </c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>
        <f t="shared" si="402"/>
        <v>0</v>
      </c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>
        <f t="shared" si="403"/>
        <v>0</v>
      </c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>
        <f t="shared" si="404"/>
        <v>0</v>
      </c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>
        <f t="shared" si="405"/>
        <v>0</v>
      </c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>
        <f t="shared" si="406"/>
        <v>0</v>
      </c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>
        <f t="shared" si="407"/>
        <v>0</v>
      </c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>
        <f t="shared" si="408"/>
        <v>0</v>
      </c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>
        <f t="shared" si="409"/>
        <v>0</v>
      </c>
    </row>
    <row r="34" spans="3:157" hidden="1" x14ac:dyDescent="0.2">
      <c r="C34" s="17" t="s">
        <v>19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>
        <f t="shared" si="410"/>
        <v>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>
        <f t="shared" si="400"/>
        <v>0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>
        <f t="shared" si="401"/>
        <v>0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>
        <f t="shared" si="402"/>
        <v>0</v>
      </c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>
        <f t="shared" si="403"/>
        <v>0</v>
      </c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>
        <f t="shared" si="404"/>
        <v>0</v>
      </c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>
        <f t="shared" si="405"/>
        <v>0</v>
      </c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>
        <f t="shared" si="406"/>
        <v>0</v>
      </c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>
        <f t="shared" si="407"/>
        <v>0</v>
      </c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>
        <f t="shared" si="408"/>
        <v>0</v>
      </c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>
        <f t="shared" si="409"/>
        <v>0</v>
      </c>
    </row>
    <row r="35" spans="3:157" hidden="1" x14ac:dyDescent="0.2">
      <c r="C35" s="17" t="s">
        <v>19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>
        <f t="shared" si="410"/>
        <v>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>
        <f t="shared" si="400"/>
        <v>0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>
        <f t="shared" si="401"/>
        <v>0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>
        <f t="shared" si="402"/>
        <v>0</v>
      </c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>
        <f t="shared" si="403"/>
        <v>0</v>
      </c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>
        <f t="shared" si="404"/>
        <v>0</v>
      </c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>
        <f t="shared" si="405"/>
        <v>0</v>
      </c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>
        <f t="shared" si="406"/>
        <v>0</v>
      </c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>
        <f t="shared" si="407"/>
        <v>0</v>
      </c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>
        <f t="shared" si="408"/>
        <v>0</v>
      </c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>
        <f t="shared" si="409"/>
        <v>0</v>
      </c>
    </row>
    <row r="36" spans="3:157" hidden="1" x14ac:dyDescent="0.2">
      <c r="C36" s="17" t="s">
        <v>19</v>
      </c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>
        <f t="shared" si="410"/>
        <v>0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>
        <f t="shared" si="400"/>
        <v>0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>
        <f t="shared" si="401"/>
        <v>0</v>
      </c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>
        <f t="shared" si="402"/>
        <v>0</v>
      </c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>
        <f t="shared" si="403"/>
        <v>0</v>
      </c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>
        <f t="shared" si="404"/>
        <v>0</v>
      </c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>
        <f t="shared" si="405"/>
        <v>0</v>
      </c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>
        <f t="shared" si="406"/>
        <v>0</v>
      </c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>
        <f t="shared" si="407"/>
        <v>0</v>
      </c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>
        <f t="shared" si="408"/>
        <v>0</v>
      </c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>
        <f t="shared" si="409"/>
        <v>0</v>
      </c>
    </row>
    <row r="37" spans="3:157" hidden="1" x14ac:dyDescent="0.2">
      <c r="C37" s="17" t="s">
        <v>19</v>
      </c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>
        <f t="shared" si="410"/>
        <v>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>
        <f t="shared" si="400"/>
        <v>0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>
        <f t="shared" si="401"/>
        <v>0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>
        <f t="shared" si="402"/>
        <v>0</v>
      </c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>
        <f t="shared" si="403"/>
        <v>0</v>
      </c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>
        <f t="shared" si="404"/>
        <v>0</v>
      </c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>
        <f t="shared" si="405"/>
        <v>0</v>
      </c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>
        <f t="shared" si="406"/>
        <v>0</v>
      </c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>
        <f t="shared" si="407"/>
        <v>0</v>
      </c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>
        <f t="shared" si="408"/>
        <v>0</v>
      </c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>
        <f t="shared" si="409"/>
        <v>0</v>
      </c>
    </row>
    <row r="38" spans="3:157" hidden="1" x14ac:dyDescent="0.2">
      <c r="C38" s="17" t="s">
        <v>19</v>
      </c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>
        <f t="shared" si="410"/>
        <v>0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>
        <f t="shared" si="400"/>
        <v>0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>
        <f t="shared" si="401"/>
        <v>0</v>
      </c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>
        <f t="shared" si="402"/>
        <v>0</v>
      </c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>
        <f t="shared" si="403"/>
        <v>0</v>
      </c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>
        <f t="shared" si="404"/>
        <v>0</v>
      </c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>
        <f t="shared" si="405"/>
        <v>0</v>
      </c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>
        <f t="shared" si="406"/>
        <v>0</v>
      </c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>
        <f t="shared" si="407"/>
        <v>0</v>
      </c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>
        <f t="shared" si="408"/>
        <v>0</v>
      </c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>
        <f t="shared" si="409"/>
        <v>0</v>
      </c>
    </row>
    <row r="39" spans="3:157" hidden="1" x14ac:dyDescent="0.2">
      <c r="C39" s="17" t="s">
        <v>19</v>
      </c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>
        <f t="shared" si="410"/>
        <v>0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>
        <f t="shared" si="400"/>
        <v>0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>
        <f t="shared" si="401"/>
        <v>0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>
        <f t="shared" si="402"/>
        <v>0</v>
      </c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>
        <f t="shared" si="403"/>
        <v>0</v>
      </c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>
        <f t="shared" si="404"/>
        <v>0</v>
      </c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>
        <f t="shared" si="405"/>
        <v>0</v>
      </c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>
        <f t="shared" si="406"/>
        <v>0</v>
      </c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>
        <f t="shared" si="407"/>
        <v>0</v>
      </c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>
        <f t="shared" si="408"/>
        <v>0</v>
      </c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>
        <f t="shared" si="409"/>
        <v>0</v>
      </c>
    </row>
    <row r="40" spans="3:157" hidden="1" x14ac:dyDescent="0.2">
      <c r="C40" s="17" t="s">
        <v>19</v>
      </c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>
        <f t="shared" si="410"/>
        <v>0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>
        <f t="shared" si="400"/>
        <v>0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>
        <f t="shared" si="401"/>
        <v>0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>
        <f t="shared" si="402"/>
        <v>0</v>
      </c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>
        <f t="shared" si="403"/>
        <v>0</v>
      </c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>
        <f t="shared" si="404"/>
        <v>0</v>
      </c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>
        <f t="shared" si="405"/>
        <v>0</v>
      </c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>
        <f t="shared" si="406"/>
        <v>0</v>
      </c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>
        <f t="shared" si="407"/>
        <v>0</v>
      </c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>
        <f t="shared" si="408"/>
        <v>0</v>
      </c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>
        <f t="shared" si="409"/>
        <v>0</v>
      </c>
    </row>
    <row r="41" spans="3:157" hidden="1" x14ac:dyDescent="0.2">
      <c r="C41" s="17" t="s">
        <v>19</v>
      </c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>
        <f t="shared" si="410"/>
        <v>0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>
        <f t="shared" si="400"/>
        <v>0</v>
      </c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>
        <f t="shared" si="401"/>
        <v>0</v>
      </c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>
        <f t="shared" si="402"/>
        <v>0</v>
      </c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>
        <f t="shared" si="403"/>
        <v>0</v>
      </c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>
        <f t="shared" si="404"/>
        <v>0</v>
      </c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>
        <f t="shared" si="405"/>
        <v>0</v>
      </c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>
        <f t="shared" si="406"/>
        <v>0</v>
      </c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>
        <f t="shared" si="407"/>
        <v>0</v>
      </c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>
        <f t="shared" si="408"/>
        <v>0</v>
      </c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>
        <f t="shared" si="409"/>
        <v>0</v>
      </c>
    </row>
    <row r="42" spans="3:157" hidden="1" x14ac:dyDescent="0.2">
      <c r="C42" s="17" t="s">
        <v>19</v>
      </c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>
        <f t="shared" si="410"/>
        <v>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>
        <f t="shared" si="400"/>
        <v>0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>
        <f t="shared" si="401"/>
        <v>0</v>
      </c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>
        <f t="shared" si="402"/>
        <v>0</v>
      </c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>
        <f t="shared" si="403"/>
        <v>0</v>
      </c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>
        <f t="shared" si="404"/>
        <v>0</v>
      </c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>
        <f t="shared" si="405"/>
        <v>0</v>
      </c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>
        <f t="shared" si="406"/>
        <v>0</v>
      </c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>
        <f t="shared" si="407"/>
        <v>0</v>
      </c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>
        <f t="shared" si="408"/>
        <v>0</v>
      </c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>
        <f t="shared" si="409"/>
        <v>0</v>
      </c>
    </row>
    <row r="43" spans="3:157" hidden="1" x14ac:dyDescent="0.2">
      <c r="C43" s="17" t="s">
        <v>19</v>
      </c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>
        <f t="shared" si="410"/>
        <v>0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>
        <f t="shared" si="400"/>
        <v>0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>
        <f t="shared" si="401"/>
        <v>0</v>
      </c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>
        <f t="shared" si="402"/>
        <v>0</v>
      </c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>
        <f t="shared" si="403"/>
        <v>0</v>
      </c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>
        <f t="shared" si="404"/>
        <v>0</v>
      </c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>
        <f t="shared" si="405"/>
        <v>0</v>
      </c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>
        <f t="shared" si="406"/>
        <v>0</v>
      </c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>
        <f t="shared" si="407"/>
        <v>0</v>
      </c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>
        <f t="shared" si="408"/>
        <v>0</v>
      </c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>
        <f t="shared" si="409"/>
        <v>0</v>
      </c>
    </row>
    <row r="44" spans="3:157" hidden="1" x14ac:dyDescent="0.2">
      <c r="C44" s="17" t="s">
        <v>19</v>
      </c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>
        <f t="shared" si="410"/>
        <v>0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>
        <f t="shared" si="400"/>
        <v>0</v>
      </c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>
        <f t="shared" si="401"/>
        <v>0</v>
      </c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>
        <f t="shared" si="402"/>
        <v>0</v>
      </c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>
        <f t="shared" si="403"/>
        <v>0</v>
      </c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>
        <f t="shared" si="404"/>
        <v>0</v>
      </c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>
        <f t="shared" si="405"/>
        <v>0</v>
      </c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>
        <f t="shared" si="406"/>
        <v>0</v>
      </c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>
        <f t="shared" si="407"/>
        <v>0</v>
      </c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>
        <f t="shared" si="408"/>
        <v>0</v>
      </c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>
        <f t="shared" si="409"/>
        <v>0</v>
      </c>
    </row>
    <row r="45" spans="3:157" hidden="1" x14ac:dyDescent="0.2">
      <c r="C45" s="17" t="s">
        <v>19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9">
        <f>SUM(E45:P45)</f>
        <v>0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19">
        <f>SUM(S45:AD45)</f>
        <v>0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19">
        <f t="shared" si="401"/>
        <v>0</v>
      </c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19">
        <f t="shared" si="402"/>
        <v>0</v>
      </c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19">
        <f t="shared" si="403"/>
        <v>0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19">
        <f t="shared" si="404"/>
        <v>0</v>
      </c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19">
        <f t="shared" si="405"/>
        <v>0</v>
      </c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19">
        <f t="shared" si="406"/>
        <v>0</v>
      </c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19">
        <f t="shared" si="407"/>
        <v>0</v>
      </c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19">
        <f t="shared" si="408"/>
        <v>0</v>
      </c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19">
        <f t="shared" si="409"/>
        <v>0</v>
      </c>
    </row>
    <row r="46" spans="3:157" x14ac:dyDescent="0.2">
      <c r="C46" s="13" t="s">
        <v>11</v>
      </c>
      <c r="E46" s="20" cm="1">
        <f t="array" aca="1" ref="E46" ca="1">SUM(INDIRECT(ADDRESS(expenses_min_row, COLUMN()) &amp;":" &amp; ADDRESS(expenses_max_row, COLUMN())))</f>
        <v>0</v>
      </c>
      <c r="F46" s="20" cm="1">
        <f t="array" aca="1" ref="F46" ca="1">SUM(INDIRECT(ADDRESS(expenses_min_row, COLUMN()) &amp;":" &amp; ADDRESS(expenses_max_row, COLUMN())))</f>
        <v>0</v>
      </c>
      <c r="G46" s="20" cm="1">
        <f t="array" aca="1" ref="G46" ca="1">SUM(INDIRECT(ADDRESS(expenses_min_row, COLUMN()) &amp;":" &amp; ADDRESS(expenses_max_row, COLUMN())))</f>
        <v>0</v>
      </c>
      <c r="H46" s="20" cm="1">
        <f t="array" aca="1" ref="H46" ca="1">SUM(INDIRECT(ADDRESS(expenses_min_row, COLUMN()) &amp;":" &amp; ADDRESS(expenses_max_row, COLUMN())))</f>
        <v>0</v>
      </c>
      <c r="I46" s="20" cm="1">
        <f t="array" aca="1" ref="I46" ca="1">SUM(INDIRECT(ADDRESS(expenses_min_row, COLUMN()) &amp;":" &amp; ADDRESS(expenses_max_row, COLUMN())))</f>
        <v>0</v>
      </c>
      <c r="J46" s="20" cm="1">
        <f t="array" aca="1" ref="J46" ca="1">SUM(INDIRECT(ADDRESS(expenses_min_row, COLUMN()) &amp;":" &amp; ADDRESS(expenses_max_row, COLUMN())))</f>
        <v>0</v>
      </c>
      <c r="K46" s="20" cm="1">
        <f t="array" aca="1" ref="K46" ca="1">SUM(INDIRECT(ADDRESS(expenses_min_row, COLUMN()) &amp;":" &amp; ADDRESS(expenses_max_row, COLUMN())))</f>
        <v>0</v>
      </c>
      <c r="L46" s="20" cm="1">
        <f t="array" aca="1" ref="L46" ca="1">SUM(INDIRECT(ADDRESS(expenses_min_row, COLUMN()) &amp;":" &amp; ADDRESS(expenses_max_row, COLUMN())))</f>
        <v>0</v>
      </c>
      <c r="M46" s="20" cm="1">
        <f t="array" aca="1" ref="M46" ca="1">SUM(INDIRECT(ADDRESS(expenses_min_row, COLUMN()) &amp;":" &amp; ADDRESS(expenses_max_row, COLUMN())))</f>
        <v>0</v>
      </c>
      <c r="N46" s="20" cm="1">
        <f t="array" aca="1" ref="N46" ca="1">SUM(INDIRECT(ADDRESS(expenses_min_row, COLUMN()) &amp;":" &amp; ADDRESS(expenses_max_row, COLUMN())))</f>
        <v>0</v>
      </c>
      <c r="O46" s="20" cm="1">
        <f t="array" aca="1" ref="O46" ca="1">SUM(INDIRECT(ADDRESS(expenses_min_row, COLUMN()) &amp;":" &amp; ADDRESS(expenses_max_row, COLUMN())))</f>
        <v>0</v>
      </c>
      <c r="P46" s="20" cm="1">
        <f t="array" aca="1" ref="P46" ca="1">SUM(INDIRECT(ADDRESS(expenses_min_row, COLUMN()) &amp;":" &amp; ADDRESS(expenses_max_row, COLUMN())))</f>
        <v>0</v>
      </c>
      <c r="Q46" s="20" cm="1">
        <f t="array" aca="1" ref="Q46" ca="1">SUM(INDIRECT(ADDRESS(expenses_min_row, COLUMN()) &amp;":" &amp; ADDRESS(expenses_max_row, COLUMN())))</f>
        <v>0</v>
      </c>
      <c r="S46" s="20" cm="1">
        <f t="array" aca="1" ref="S46" ca="1">SUM(INDIRECT(ADDRESS(expenses_min_row, COLUMN()) &amp;":" &amp; ADDRESS(expenses_max_row, COLUMN())))</f>
        <v>0</v>
      </c>
      <c r="T46" s="20" cm="1">
        <f t="array" aca="1" ref="T46" ca="1">SUM(INDIRECT(ADDRESS(expenses_min_row, COLUMN()) &amp;":" &amp; ADDRESS(expenses_max_row, COLUMN())))</f>
        <v>0</v>
      </c>
      <c r="U46" s="20" cm="1">
        <f t="array" aca="1" ref="U46" ca="1">SUM(INDIRECT(ADDRESS(expenses_min_row, COLUMN()) &amp;":" &amp; ADDRESS(expenses_max_row, COLUMN())))</f>
        <v>0</v>
      </c>
      <c r="V46" s="20" cm="1">
        <f t="array" aca="1" ref="V46" ca="1">SUM(INDIRECT(ADDRESS(expenses_min_row, COLUMN()) &amp;":" &amp; ADDRESS(expenses_max_row, COLUMN())))</f>
        <v>0</v>
      </c>
      <c r="W46" s="20" cm="1">
        <f t="array" aca="1" ref="W46" ca="1">SUM(INDIRECT(ADDRESS(expenses_min_row, COLUMN()) &amp;":" &amp; ADDRESS(expenses_max_row, COLUMN())))</f>
        <v>0</v>
      </c>
      <c r="X46" s="20" cm="1">
        <f t="array" aca="1" ref="X46" ca="1">SUM(INDIRECT(ADDRESS(expenses_min_row, COLUMN()) &amp;":" &amp; ADDRESS(expenses_max_row, COLUMN())))</f>
        <v>0</v>
      </c>
      <c r="Y46" s="20" cm="1">
        <f t="array" aca="1" ref="Y46" ca="1">SUM(INDIRECT(ADDRESS(expenses_min_row, COLUMN()) &amp;":" &amp; ADDRESS(expenses_max_row, COLUMN())))</f>
        <v>0</v>
      </c>
      <c r="Z46" s="20" cm="1">
        <f t="array" aca="1" ref="Z46" ca="1">SUM(INDIRECT(ADDRESS(expenses_min_row, COLUMN()) &amp;":" &amp; ADDRESS(expenses_max_row, COLUMN())))</f>
        <v>0</v>
      </c>
      <c r="AA46" s="20" cm="1">
        <f t="array" aca="1" ref="AA46" ca="1">SUM(INDIRECT(ADDRESS(expenses_min_row, COLUMN()) &amp;":" &amp; ADDRESS(expenses_max_row, COLUMN())))</f>
        <v>0</v>
      </c>
      <c r="AB46" s="20" cm="1">
        <f t="array" aca="1" ref="AB46" ca="1">SUM(INDIRECT(ADDRESS(expenses_min_row, COLUMN()) &amp;":" &amp; ADDRESS(expenses_max_row, COLUMN())))</f>
        <v>0</v>
      </c>
      <c r="AC46" s="20" cm="1">
        <f t="array" aca="1" ref="AC46" ca="1">SUM(INDIRECT(ADDRESS(expenses_min_row, COLUMN()) &amp;":" &amp; ADDRESS(expenses_max_row, COLUMN())))</f>
        <v>0</v>
      </c>
      <c r="AD46" s="20" cm="1">
        <f t="array" aca="1" ref="AD46" ca="1">SUM(INDIRECT(ADDRESS(expenses_min_row, COLUMN()) &amp;":" &amp; ADDRESS(expenses_max_row, COLUMN())))</f>
        <v>0</v>
      </c>
      <c r="AE46" s="20" cm="1">
        <f t="array" aca="1" ref="AE46" ca="1">SUM(INDIRECT(ADDRESS(expenses_min_row, COLUMN()) &amp;":" &amp; ADDRESS(expenses_max_row, COLUMN())))</f>
        <v>0</v>
      </c>
      <c r="AG46" s="20" cm="1">
        <f t="array" aca="1" ref="AG46" ca="1">SUM(INDIRECT(ADDRESS(expenses_min_row, COLUMN()) &amp;":" &amp; ADDRESS(expenses_max_row, COLUMN())))</f>
        <v>0</v>
      </c>
      <c r="AH46" s="20" cm="1">
        <f t="array" aca="1" ref="AH46" ca="1">SUM(INDIRECT(ADDRESS(expenses_min_row, COLUMN()) &amp;":" &amp; ADDRESS(expenses_max_row, COLUMN())))</f>
        <v>0</v>
      </c>
      <c r="AI46" s="20" cm="1">
        <f t="array" aca="1" ref="AI46" ca="1">SUM(INDIRECT(ADDRESS(expenses_min_row, COLUMN()) &amp;":" &amp; ADDRESS(expenses_max_row, COLUMN())))</f>
        <v>0</v>
      </c>
      <c r="AJ46" s="20" cm="1">
        <f t="array" aca="1" ref="AJ46" ca="1">SUM(INDIRECT(ADDRESS(expenses_min_row, COLUMN()) &amp;":" &amp; ADDRESS(expenses_max_row, COLUMN())))</f>
        <v>0</v>
      </c>
      <c r="AK46" s="20" cm="1">
        <f t="array" aca="1" ref="AK46" ca="1">SUM(INDIRECT(ADDRESS(expenses_min_row, COLUMN()) &amp;":" &amp; ADDRESS(expenses_max_row, COLUMN())))</f>
        <v>0</v>
      </c>
      <c r="AL46" s="20" cm="1">
        <f t="array" aca="1" ref="AL46" ca="1">SUM(INDIRECT(ADDRESS(expenses_min_row, COLUMN()) &amp;":" &amp; ADDRESS(expenses_max_row, COLUMN())))</f>
        <v>0</v>
      </c>
      <c r="AM46" s="20" cm="1">
        <f t="array" aca="1" ref="AM46" ca="1">SUM(INDIRECT(ADDRESS(expenses_min_row, COLUMN()) &amp;":" &amp; ADDRESS(expenses_max_row, COLUMN())))</f>
        <v>0</v>
      </c>
      <c r="AN46" s="20" cm="1">
        <f t="array" aca="1" ref="AN46" ca="1">SUM(INDIRECT(ADDRESS(expenses_min_row, COLUMN()) &amp;":" &amp; ADDRESS(expenses_max_row, COLUMN())))</f>
        <v>0</v>
      </c>
      <c r="AO46" s="20" cm="1">
        <f t="array" aca="1" ref="AO46" ca="1">SUM(INDIRECT(ADDRESS(expenses_min_row, COLUMN()) &amp;":" &amp; ADDRESS(expenses_max_row, COLUMN())))</f>
        <v>0</v>
      </c>
      <c r="AP46" s="20" cm="1">
        <f t="array" aca="1" ref="AP46" ca="1">SUM(INDIRECT(ADDRESS(expenses_min_row, COLUMN()) &amp;":" &amp; ADDRESS(expenses_max_row, COLUMN())))</f>
        <v>0</v>
      </c>
      <c r="AQ46" s="20" cm="1">
        <f t="array" aca="1" ref="AQ46" ca="1">SUM(INDIRECT(ADDRESS(expenses_min_row, COLUMN()) &amp;":" &amp; ADDRESS(expenses_max_row, COLUMN())))</f>
        <v>0</v>
      </c>
      <c r="AR46" s="20" cm="1">
        <f t="array" aca="1" ref="AR46" ca="1">SUM(INDIRECT(ADDRESS(expenses_min_row, COLUMN()) &amp;":" &amp; ADDRESS(expenses_max_row, COLUMN())))</f>
        <v>0</v>
      </c>
      <c r="AS46" s="20" cm="1">
        <f t="array" aca="1" ref="AS46" ca="1">SUM(INDIRECT(ADDRESS(expenses_min_row, COLUMN()) &amp;":" &amp; ADDRESS(expenses_max_row, COLUMN())))</f>
        <v>0</v>
      </c>
      <c r="AU46" s="20" cm="1">
        <f t="array" aca="1" ref="AU46" ca="1">SUM(INDIRECT(ADDRESS(expenses_min_row, COLUMN()) &amp;":" &amp; ADDRESS(expenses_max_row, COLUMN())))</f>
        <v>0</v>
      </c>
      <c r="AV46" s="20" cm="1">
        <f t="array" aca="1" ref="AV46" ca="1">SUM(INDIRECT(ADDRESS(expenses_min_row, COLUMN()) &amp;":" &amp; ADDRESS(expenses_max_row, COLUMN())))</f>
        <v>0</v>
      </c>
      <c r="AW46" s="20" cm="1">
        <f t="array" aca="1" ref="AW46" ca="1">SUM(INDIRECT(ADDRESS(expenses_min_row, COLUMN()) &amp;":" &amp; ADDRESS(expenses_max_row, COLUMN())))</f>
        <v>0</v>
      </c>
      <c r="AX46" s="20" cm="1">
        <f t="array" aca="1" ref="AX46" ca="1">SUM(INDIRECT(ADDRESS(expenses_min_row, COLUMN()) &amp;":" &amp; ADDRESS(expenses_max_row, COLUMN())))</f>
        <v>0</v>
      </c>
      <c r="AY46" s="20" cm="1">
        <f t="array" aca="1" ref="AY46" ca="1">SUM(INDIRECT(ADDRESS(expenses_min_row, COLUMN()) &amp;":" &amp; ADDRESS(expenses_max_row, COLUMN())))</f>
        <v>0</v>
      </c>
      <c r="AZ46" s="20" cm="1">
        <f t="array" aca="1" ref="AZ46" ca="1">SUM(INDIRECT(ADDRESS(expenses_min_row, COLUMN()) &amp;":" &amp; ADDRESS(expenses_max_row, COLUMN())))</f>
        <v>0</v>
      </c>
      <c r="BA46" s="20" cm="1">
        <f t="array" aca="1" ref="BA46" ca="1">SUM(INDIRECT(ADDRESS(expenses_min_row, COLUMN()) &amp;":" &amp; ADDRESS(expenses_max_row, COLUMN())))</f>
        <v>0</v>
      </c>
      <c r="BB46" s="20" cm="1">
        <f t="array" aca="1" ref="BB46" ca="1">SUM(INDIRECT(ADDRESS(expenses_min_row, COLUMN()) &amp;":" &amp; ADDRESS(expenses_max_row, COLUMN())))</f>
        <v>0</v>
      </c>
      <c r="BC46" s="20" cm="1">
        <f t="array" aca="1" ref="BC46" ca="1">SUM(INDIRECT(ADDRESS(expenses_min_row, COLUMN()) &amp;":" &amp; ADDRESS(expenses_max_row, COLUMN())))</f>
        <v>0</v>
      </c>
      <c r="BD46" s="20" cm="1">
        <f t="array" aca="1" ref="BD46" ca="1">SUM(INDIRECT(ADDRESS(expenses_min_row, COLUMN()) &amp;":" &amp; ADDRESS(expenses_max_row, COLUMN())))</f>
        <v>0</v>
      </c>
      <c r="BE46" s="20" cm="1">
        <f t="array" aca="1" ref="BE46" ca="1">SUM(INDIRECT(ADDRESS(expenses_min_row, COLUMN()) &amp;":" &amp; ADDRESS(expenses_max_row, COLUMN())))</f>
        <v>0</v>
      </c>
      <c r="BF46" s="20" cm="1">
        <f t="array" aca="1" ref="BF46" ca="1">SUM(INDIRECT(ADDRESS(expenses_min_row, COLUMN()) &amp;":" &amp; ADDRESS(expenses_max_row, COLUMN())))</f>
        <v>0</v>
      </c>
      <c r="BG46" s="20" cm="1">
        <f t="array" aca="1" ref="BG46" ca="1">SUM(INDIRECT(ADDRESS(expenses_min_row, COLUMN()) &amp;":" &amp; ADDRESS(expenses_max_row, COLUMN())))</f>
        <v>0</v>
      </c>
      <c r="BI46" s="20" cm="1">
        <f t="array" aca="1" ref="BI46" ca="1">SUM(INDIRECT(ADDRESS(expenses_min_row, COLUMN()) &amp;":" &amp; ADDRESS(expenses_max_row, COLUMN())))</f>
        <v>0</v>
      </c>
      <c r="BJ46" s="20" cm="1">
        <f t="array" aca="1" ref="BJ46" ca="1">SUM(INDIRECT(ADDRESS(expenses_min_row, COLUMN()) &amp;":" &amp; ADDRESS(expenses_max_row, COLUMN())))</f>
        <v>0</v>
      </c>
      <c r="BK46" s="20" cm="1">
        <f t="array" aca="1" ref="BK46" ca="1">SUM(INDIRECT(ADDRESS(expenses_min_row, COLUMN()) &amp;":" &amp; ADDRESS(expenses_max_row, COLUMN())))</f>
        <v>0</v>
      </c>
      <c r="BL46" s="20" cm="1">
        <f t="array" aca="1" ref="BL46" ca="1">SUM(INDIRECT(ADDRESS(expenses_min_row, COLUMN()) &amp;":" &amp; ADDRESS(expenses_max_row, COLUMN())))</f>
        <v>0</v>
      </c>
      <c r="BM46" s="20" cm="1">
        <f t="array" aca="1" ref="BM46" ca="1">SUM(INDIRECT(ADDRESS(expenses_min_row, COLUMN()) &amp;":" &amp; ADDRESS(expenses_max_row, COLUMN())))</f>
        <v>0</v>
      </c>
      <c r="BN46" s="20" cm="1">
        <f t="array" aca="1" ref="BN46" ca="1">SUM(INDIRECT(ADDRESS(expenses_min_row, COLUMN()) &amp;":" &amp; ADDRESS(expenses_max_row, COLUMN())))</f>
        <v>0</v>
      </c>
      <c r="BO46" s="20" cm="1">
        <f t="array" aca="1" ref="BO46" ca="1">SUM(INDIRECT(ADDRESS(expenses_min_row, COLUMN()) &amp;":" &amp; ADDRESS(expenses_max_row, COLUMN())))</f>
        <v>0</v>
      </c>
      <c r="BP46" s="20" cm="1">
        <f t="array" aca="1" ref="BP46" ca="1">SUM(INDIRECT(ADDRESS(expenses_min_row, COLUMN()) &amp;":" &amp; ADDRESS(expenses_max_row, COLUMN())))</f>
        <v>0</v>
      </c>
      <c r="BQ46" s="20" cm="1">
        <f t="array" aca="1" ref="BQ46" ca="1">SUM(INDIRECT(ADDRESS(expenses_min_row, COLUMN()) &amp;":" &amp; ADDRESS(expenses_max_row, COLUMN())))</f>
        <v>0</v>
      </c>
      <c r="BR46" s="20" cm="1">
        <f t="array" aca="1" ref="BR46" ca="1">SUM(INDIRECT(ADDRESS(expenses_min_row, COLUMN()) &amp;":" &amp; ADDRESS(expenses_max_row, COLUMN())))</f>
        <v>0</v>
      </c>
      <c r="BS46" s="20" cm="1">
        <f t="array" aca="1" ref="BS46" ca="1">SUM(INDIRECT(ADDRESS(expenses_min_row, COLUMN()) &amp;":" &amp; ADDRESS(expenses_max_row, COLUMN())))</f>
        <v>0</v>
      </c>
      <c r="BT46" s="20" cm="1">
        <f t="array" aca="1" ref="BT46" ca="1">SUM(INDIRECT(ADDRESS(expenses_min_row, COLUMN()) &amp;":" &amp; ADDRESS(expenses_max_row, COLUMN())))</f>
        <v>0</v>
      </c>
      <c r="BU46" s="20" cm="1">
        <f t="array" aca="1" ref="BU46" ca="1">SUM(INDIRECT(ADDRESS(expenses_min_row, COLUMN()) &amp;":" &amp; ADDRESS(expenses_max_row, COLUMN())))</f>
        <v>0</v>
      </c>
      <c r="BW46" s="20" cm="1">
        <f t="array" aca="1" ref="BW46" ca="1">SUM(INDIRECT(ADDRESS(expenses_min_row, COLUMN()) &amp;":" &amp; ADDRESS(expenses_max_row, COLUMN())))</f>
        <v>0</v>
      </c>
      <c r="BX46" s="20" cm="1">
        <f t="array" aca="1" ref="BX46" ca="1">SUM(INDIRECT(ADDRESS(expenses_min_row, COLUMN()) &amp;":" &amp; ADDRESS(expenses_max_row, COLUMN())))</f>
        <v>0</v>
      </c>
      <c r="BY46" s="20" cm="1">
        <f t="array" aca="1" ref="BY46" ca="1">SUM(INDIRECT(ADDRESS(expenses_min_row, COLUMN()) &amp;":" &amp; ADDRESS(expenses_max_row, COLUMN())))</f>
        <v>0</v>
      </c>
      <c r="BZ46" s="20" cm="1">
        <f t="array" aca="1" ref="BZ46" ca="1">SUM(INDIRECT(ADDRESS(expenses_min_row, COLUMN()) &amp;":" &amp; ADDRESS(expenses_max_row, COLUMN())))</f>
        <v>0</v>
      </c>
      <c r="CA46" s="20" cm="1">
        <f t="array" aca="1" ref="CA46" ca="1">SUM(INDIRECT(ADDRESS(expenses_min_row, COLUMN()) &amp;":" &amp; ADDRESS(expenses_max_row, COLUMN())))</f>
        <v>0</v>
      </c>
      <c r="CB46" s="20" cm="1">
        <f t="array" aca="1" ref="CB46" ca="1">SUM(INDIRECT(ADDRESS(expenses_min_row, COLUMN()) &amp;":" &amp; ADDRESS(expenses_max_row, COLUMN())))</f>
        <v>0</v>
      </c>
      <c r="CC46" s="20" cm="1">
        <f t="array" aca="1" ref="CC46" ca="1">SUM(INDIRECT(ADDRESS(expenses_min_row, COLUMN()) &amp;":" &amp; ADDRESS(expenses_max_row, COLUMN())))</f>
        <v>0</v>
      </c>
      <c r="CD46" s="20" cm="1">
        <f t="array" aca="1" ref="CD46" ca="1">SUM(INDIRECT(ADDRESS(expenses_min_row, COLUMN()) &amp;":" &amp; ADDRESS(expenses_max_row, COLUMN())))</f>
        <v>0</v>
      </c>
      <c r="CE46" s="20" cm="1">
        <f t="array" aca="1" ref="CE46" ca="1">SUM(INDIRECT(ADDRESS(expenses_min_row, COLUMN()) &amp;":" &amp; ADDRESS(expenses_max_row, COLUMN())))</f>
        <v>0</v>
      </c>
      <c r="CF46" s="20" cm="1">
        <f t="array" aca="1" ref="CF46" ca="1">SUM(INDIRECT(ADDRESS(expenses_min_row, COLUMN()) &amp;":" &amp; ADDRESS(expenses_max_row, COLUMN())))</f>
        <v>0</v>
      </c>
      <c r="CG46" s="20" cm="1">
        <f t="array" aca="1" ref="CG46" ca="1">SUM(INDIRECT(ADDRESS(expenses_min_row, COLUMN()) &amp;":" &amp; ADDRESS(expenses_max_row, COLUMN())))</f>
        <v>0</v>
      </c>
      <c r="CH46" s="20" cm="1">
        <f t="array" aca="1" ref="CH46" ca="1">SUM(INDIRECT(ADDRESS(expenses_min_row, COLUMN()) &amp;":" &amp; ADDRESS(expenses_max_row, COLUMN())))</f>
        <v>0</v>
      </c>
      <c r="CI46" s="20" cm="1">
        <f t="array" aca="1" ref="CI46" ca="1">SUM(INDIRECT(ADDRESS(expenses_min_row, COLUMN()) &amp;":" &amp; ADDRESS(expenses_max_row, COLUMN())))</f>
        <v>0</v>
      </c>
      <c r="CK46" s="20" cm="1">
        <f t="array" aca="1" ref="CK46" ca="1">SUM(INDIRECT(ADDRESS(expenses_min_row, COLUMN()) &amp;":" &amp; ADDRESS(expenses_max_row, COLUMN())))</f>
        <v>0</v>
      </c>
      <c r="CL46" s="20" cm="1">
        <f t="array" aca="1" ref="CL46" ca="1">SUM(INDIRECT(ADDRESS(expenses_min_row, COLUMN()) &amp;":" &amp; ADDRESS(expenses_max_row, COLUMN())))</f>
        <v>0</v>
      </c>
      <c r="CM46" s="20" cm="1">
        <f t="array" aca="1" ref="CM46" ca="1">SUM(INDIRECT(ADDRESS(expenses_min_row, COLUMN()) &amp;":" &amp; ADDRESS(expenses_max_row, COLUMN())))</f>
        <v>0</v>
      </c>
      <c r="CN46" s="20" cm="1">
        <f t="array" aca="1" ref="CN46" ca="1">SUM(INDIRECT(ADDRESS(expenses_min_row, COLUMN()) &amp;":" &amp; ADDRESS(expenses_max_row, COLUMN())))</f>
        <v>0</v>
      </c>
      <c r="CO46" s="20" cm="1">
        <f t="array" aca="1" ref="CO46" ca="1">SUM(INDIRECT(ADDRESS(expenses_min_row, COLUMN()) &amp;":" &amp; ADDRESS(expenses_max_row, COLUMN())))</f>
        <v>0</v>
      </c>
      <c r="CP46" s="20" cm="1">
        <f t="array" aca="1" ref="CP46" ca="1">SUM(INDIRECT(ADDRESS(expenses_min_row, COLUMN()) &amp;":" &amp; ADDRESS(expenses_max_row, COLUMN())))</f>
        <v>0</v>
      </c>
      <c r="CQ46" s="20" cm="1">
        <f t="array" aca="1" ref="CQ46" ca="1">SUM(INDIRECT(ADDRESS(expenses_min_row, COLUMN()) &amp;":" &amp; ADDRESS(expenses_max_row, COLUMN())))</f>
        <v>0</v>
      </c>
      <c r="CR46" s="20" cm="1">
        <f t="array" aca="1" ref="CR46" ca="1">SUM(INDIRECT(ADDRESS(expenses_min_row, COLUMN()) &amp;":" &amp; ADDRESS(expenses_max_row, COLUMN())))</f>
        <v>0</v>
      </c>
      <c r="CS46" s="20" cm="1">
        <f t="array" aca="1" ref="CS46" ca="1">SUM(INDIRECT(ADDRESS(expenses_min_row, COLUMN()) &amp;":" &amp; ADDRESS(expenses_max_row, COLUMN())))</f>
        <v>0</v>
      </c>
      <c r="CT46" s="20" cm="1">
        <f t="array" aca="1" ref="CT46" ca="1">SUM(INDIRECT(ADDRESS(expenses_min_row, COLUMN()) &amp;":" &amp; ADDRESS(expenses_max_row, COLUMN())))</f>
        <v>0</v>
      </c>
      <c r="CU46" s="20" cm="1">
        <f t="array" aca="1" ref="CU46" ca="1">SUM(INDIRECT(ADDRESS(expenses_min_row, COLUMN()) &amp;":" &amp; ADDRESS(expenses_max_row, COLUMN())))</f>
        <v>0</v>
      </c>
      <c r="CV46" s="20" cm="1">
        <f t="array" aca="1" ref="CV46" ca="1">SUM(INDIRECT(ADDRESS(expenses_min_row, COLUMN()) &amp;":" &amp; ADDRESS(expenses_max_row, COLUMN())))</f>
        <v>0</v>
      </c>
      <c r="CW46" s="20" cm="1">
        <f t="array" aca="1" ref="CW46" ca="1">SUM(INDIRECT(ADDRESS(expenses_min_row, COLUMN()) &amp;":" &amp; ADDRESS(expenses_max_row, COLUMN())))</f>
        <v>0</v>
      </c>
      <c r="CY46" s="20" cm="1">
        <f t="array" aca="1" ref="CY46" ca="1">SUM(INDIRECT(ADDRESS(expenses_min_row, COLUMN()) &amp;":" &amp; ADDRESS(expenses_max_row, COLUMN())))</f>
        <v>0</v>
      </c>
      <c r="CZ46" s="20" cm="1">
        <f t="array" aca="1" ref="CZ46" ca="1">SUM(INDIRECT(ADDRESS(expenses_min_row, COLUMN()) &amp;":" &amp; ADDRESS(expenses_max_row, COLUMN())))</f>
        <v>0</v>
      </c>
      <c r="DA46" s="20" cm="1">
        <f t="array" aca="1" ref="DA46" ca="1">SUM(INDIRECT(ADDRESS(expenses_min_row, COLUMN()) &amp;":" &amp; ADDRESS(expenses_max_row, COLUMN())))</f>
        <v>0</v>
      </c>
      <c r="DB46" s="20" cm="1">
        <f t="array" aca="1" ref="DB46" ca="1">SUM(INDIRECT(ADDRESS(expenses_min_row, COLUMN()) &amp;":" &amp; ADDRESS(expenses_max_row, COLUMN())))</f>
        <v>0</v>
      </c>
      <c r="DC46" s="20" cm="1">
        <f t="array" aca="1" ref="DC46" ca="1">SUM(INDIRECT(ADDRESS(expenses_min_row, COLUMN()) &amp;":" &amp; ADDRESS(expenses_max_row, COLUMN())))</f>
        <v>0</v>
      </c>
      <c r="DD46" s="20" cm="1">
        <f t="array" aca="1" ref="DD46" ca="1">SUM(INDIRECT(ADDRESS(expenses_min_row, COLUMN()) &amp;":" &amp; ADDRESS(expenses_max_row, COLUMN())))</f>
        <v>0</v>
      </c>
      <c r="DE46" s="20" cm="1">
        <f t="array" aca="1" ref="DE46" ca="1">SUM(INDIRECT(ADDRESS(expenses_min_row, COLUMN()) &amp;":" &amp; ADDRESS(expenses_max_row, COLUMN())))</f>
        <v>0</v>
      </c>
      <c r="DF46" s="20" cm="1">
        <f t="array" aca="1" ref="DF46" ca="1">SUM(INDIRECT(ADDRESS(expenses_min_row, COLUMN()) &amp;":" &amp; ADDRESS(expenses_max_row, COLUMN())))</f>
        <v>0</v>
      </c>
      <c r="DG46" s="20" cm="1">
        <f t="array" aca="1" ref="DG46" ca="1">SUM(INDIRECT(ADDRESS(expenses_min_row, COLUMN()) &amp;":" &amp; ADDRESS(expenses_max_row, COLUMN())))</f>
        <v>0</v>
      </c>
      <c r="DH46" s="20" cm="1">
        <f t="array" aca="1" ref="DH46" ca="1">SUM(INDIRECT(ADDRESS(expenses_min_row, COLUMN()) &amp;":" &amp; ADDRESS(expenses_max_row, COLUMN())))</f>
        <v>0</v>
      </c>
      <c r="DI46" s="20" cm="1">
        <f t="array" aca="1" ref="DI46" ca="1">SUM(INDIRECT(ADDRESS(expenses_min_row, COLUMN()) &amp;":" &amp; ADDRESS(expenses_max_row, COLUMN())))</f>
        <v>0</v>
      </c>
      <c r="DJ46" s="20" cm="1">
        <f t="array" aca="1" ref="DJ46" ca="1">SUM(INDIRECT(ADDRESS(expenses_min_row, COLUMN()) &amp;":" &amp; ADDRESS(expenses_max_row, COLUMN())))</f>
        <v>0</v>
      </c>
      <c r="DK46" s="20" cm="1">
        <f t="array" aca="1" ref="DK46" ca="1">SUM(INDIRECT(ADDRESS(expenses_min_row, COLUMN()) &amp;":" &amp; ADDRESS(expenses_max_row, COLUMN())))</f>
        <v>0</v>
      </c>
      <c r="DM46" s="20" cm="1">
        <f t="array" aca="1" ref="DM46" ca="1">SUM(INDIRECT(ADDRESS(expenses_min_row, COLUMN()) &amp;":" &amp; ADDRESS(expenses_max_row, COLUMN())))</f>
        <v>0</v>
      </c>
      <c r="DN46" s="20" cm="1">
        <f t="array" aca="1" ref="DN46" ca="1">SUM(INDIRECT(ADDRESS(expenses_min_row, COLUMN()) &amp;":" &amp; ADDRESS(expenses_max_row, COLUMN())))</f>
        <v>0</v>
      </c>
      <c r="DO46" s="20" cm="1">
        <f t="array" aca="1" ref="DO46" ca="1">SUM(INDIRECT(ADDRESS(expenses_min_row, COLUMN()) &amp;":" &amp; ADDRESS(expenses_max_row, COLUMN())))</f>
        <v>0</v>
      </c>
      <c r="DP46" s="20" cm="1">
        <f t="array" aca="1" ref="DP46" ca="1">SUM(INDIRECT(ADDRESS(expenses_min_row, COLUMN()) &amp;":" &amp; ADDRESS(expenses_max_row, COLUMN())))</f>
        <v>0</v>
      </c>
      <c r="DQ46" s="20" cm="1">
        <f t="array" aca="1" ref="DQ46" ca="1">SUM(INDIRECT(ADDRESS(expenses_min_row, COLUMN()) &amp;":" &amp; ADDRESS(expenses_max_row, COLUMN())))</f>
        <v>0</v>
      </c>
      <c r="DR46" s="20" cm="1">
        <f t="array" aca="1" ref="DR46" ca="1">SUM(INDIRECT(ADDRESS(expenses_min_row, COLUMN()) &amp;":" &amp; ADDRESS(expenses_max_row, COLUMN())))</f>
        <v>0</v>
      </c>
      <c r="DS46" s="20" cm="1">
        <f t="array" aca="1" ref="DS46" ca="1">SUM(INDIRECT(ADDRESS(expenses_min_row, COLUMN()) &amp;":" &amp; ADDRESS(expenses_max_row, COLUMN())))</f>
        <v>0</v>
      </c>
      <c r="DT46" s="20" cm="1">
        <f t="array" aca="1" ref="DT46" ca="1">SUM(INDIRECT(ADDRESS(expenses_min_row, COLUMN()) &amp;":" &amp; ADDRESS(expenses_max_row, COLUMN())))</f>
        <v>0</v>
      </c>
      <c r="DU46" s="20" cm="1">
        <f t="array" aca="1" ref="DU46" ca="1">SUM(INDIRECT(ADDRESS(expenses_min_row, COLUMN()) &amp;":" &amp; ADDRESS(expenses_max_row, COLUMN())))</f>
        <v>0</v>
      </c>
      <c r="DV46" s="20" cm="1">
        <f t="array" aca="1" ref="DV46" ca="1">SUM(INDIRECT(ADDRESS(expenses_min_row, COLUMN()) &amp;":" &amp; ADDRESS(expenses_max_row, COLUMN())))</f>
        <v>0</v>
      </c>
      <c r="DW46" s="20" cm="1">
        <f t="array" aca="1" ref="DW46" ca="1">SUM(INDIRECT(ADDRESS(expenses_min_row, COLUMN()) &amp;":" &amp; ADDRESS(expenses_max_row, COLUMN())))</f>
        <v>0</v>
      </c>
      <c r="DX46" s="20" cm="1">
        <f t="array" aca="1" ref="DX46" ca="1">SUM(INDIRECT(ADDRESS(expenses_min_row, COLUMN()) &amp;":" &amp; ADDRESS(expenses_max_row, COLUMN())))</f>
        <v>0</v>
      </c>
      <c r="DY46" s="20" cm="1">
        <f t="array" aca="1" ref="DY46" ca="1">SUM(INDIRECT(ADDRESS(expenses_min_row, COLUMN()) &amp;":" &amp; ADDRESS(expenses_max_row, COLUMN())))</f>
        <v>0</v>
      </c>
      <c r="EA46" s="20" cm="1">
        <f t="array" aca="1" ref="EA46" ca="1">SUM(INDIRECT(ADDRESS(expenses_min_row, COLUMN()) &amp;":" &amp; ADDRESS(expenses_max_row, COLUMN())))</f>
        <v>0</v>
      </c>
      <c r="EB46" s="20" cm="1">
        <f t="array" aca="1" ref="EB46" ca="1">SUM(INDIRECT(ADDRESS(expenses_min_row, COLUMN()) &amp;":" &amp; ADDRESS(expenses_max_row, COLUMN())))</f>
        <v>0</v>
      </c>
      <c r="EC46" s="20" cm="1">
        <f t="array" aca="1" ref="EC46" ca="1">SUM(INDIRECT(ADDRESS(expenses_min_row, COLUMN()) &amp;":" &amp; ADDRESS(expenses_max_row, COLUMN())))</f>
        <v>0</v>
      </c>
      <c r="ED46" s="20" cm="1">
        <f t="array" aca="1" ref="ED46" ca="1">SUM(INDIRECT(ADDRESS(expenses_min_row, COLUMN()) &amp;":" &amp; ADDRESS(expenses_max_row, COLUMN())))</f>
        <v>0</v>
      </c>
      <c r="EE46" s="20" cm="1">
        <f t="array" aca="1" ref="EE46" ca="1">SUM(INDIRECT(ADDRESS(expenses_min_row, COLUMN()) &amp;":" &amp; ADDRESS(expenses_max_row, COLUMN())))</f>
        <v>0</v>
      </c>
      <c r="EF46" s="20" cm="1">
        <f t="array" aca="1" ref="EF46" ca="1">SUM(INDIRECT(ADDRESS(expenses_min_row, COLUMN()) &amp;":" &amp; ADDRESS(expenses_max_row, COLUMN())))</f>
        <v>0</v>
      </c>
      <c r="EG46" s="20" cm="1">
        <f t="array" aca="1" ref="EG46" ca="1">SUM(INDIRECT(ADDRESS(expenses_min_row, COLUMN()) &amp;":" &amp; ADDRESS(expenses_max_row, COLUMN())))</f>
        <v>0</v>
      </c>
      <c r="EH46" s="20" cm="1">
        <f t="array" aca="1" ref="EH46" ca="1">SUM(INDIRECT(ADDRESS(expenses_min_row, COLUMN()) &amp;":" &amp; ADDRESS(expenses_max_row, COLUMN())))</f>
        <v>0</v>
      </c>
      <c r="EI46" s="20" cm="1">
        <f t="array" aca="1" ref="EI46" ca="1">SUM(INDIRECT(ADDRESS(expenses_min_row, COLUMN()) &amp;":" &amp; ADDRESS(expenses_max_row, COLUMN())))</f>
        <v>0</v>
      </c>
      <c r="EJ46" s="20" cm="1">
        <f t="array" aca="1" ref="EJ46" ca="1">SUM(INDIRECT(ADDRESS(expenses_min_row, COLUMN()) &amp;":" &amp; ADDRESS(expenses_max_row, COLUMN())))</f>
        <v>0</v>
      </c>
      <c r="EK46" s="20" cm="1">
        <f t="array" aca="1" ref="EK46" ca="1">SUM(INDIRECT(ADDRESS(expenses_min_row, COLUMN()) &amp;":" &amp; ADDRESS(expenses_max_row, COLUMN())))</f>
        <v>0</v>
      </c>
      <c r="EL46" s="20" cm="1">
        <f t="array" aca="1" ref="EL46" ca="1">SUM(INDIRECT(ADDRESS(expenses_min_row, COLUMN()) &amp;":" &amp; ADDRESS(expenses_max_row, COLUMN())))</f>
        <v>0</v>
      </c>
      <c r="EM46" s="20" cm="1">
        <f t="array" aca="1" ref="EM46" ca="1">SUM(INDIRECT(ADDRESS(expenses_min_row, COLUMN()) &amp;":" &amp; ADDRESS(expenses_max_row, COLUMN())))</f>
        <v>0</v>
      </c>
      <c r="EO46" s="20" cm="1">
        <f t="array" aca="1" ref="EO46" ca="1">SUM(INDIRECT(ADDRESS(expenses_min_row, COLUMN()) &amp;":" &amp; ADDRESS(expenses_max_row, COLUMN())))</f>
        <v>0</v>
      </c>
      <c r="EP46" s="20" cm="1">
        <f t="array" aca="1" ref="EP46" ca="1">SUM(INDIRECT(ADDRESS(expenses_min_row, COLUMN()) &amp;":" &amp; ADDRESS(expenses_max_row, COLUMN())))</f>
        <v>0</v>
      </c>
      <c r="EQ46" s="20" cm="1">
        <f t="array" aca="1" ref="EQ46" ca="1">SUM(INDIRECT(ADDRESS(expenses_min_row, COLUMN()) &amp;":" &amp; ADDRESS(expenses_max_row, COLUMN())))</f>
        <v>0</v>
      </c>
      <c r="ER46" s="20" cm="1">
        <f t="array" aca="1" ref="ER46" ca="1">SUM(INDIRECT(ADDRESS(expenses_min_row, COLUMN()) &amp;":" &amp; ADDRESS(expenses_max_row, COLUMN())))</f>
        <v>0</v>
      </c>
      <c r="ES46" s="20" cm="1">
        <f t="array" aca="1" ref="ES46" ca="1">SUM(INDIRECT(ADDRESS(expenses_min_row, COLUMN()) &amp;":" &amp; ADDRESS(expenses_max_row, COLUMN())))</f>
        <v>0</v>
      </c>
      <c r="ET46" s="20" cm="1">
        <f t="array" aca="1" ref="ET46" ca="1">SUM(INDIRECT(ADDRESS(expenses_min_row, COLUMN()) &amp;":" &amp; ADDRESS(expenses_max_row, COLUMN())))</f>
        <v>0</v>
      </c>
      <c r="EU46" s="20" cm="1">
        <f t="array" aca="1" ref="EU46" ca="1">SUM(INDIRECT(ADDRESS(expenses_min_row, COLUMN()) &amp;":" &amp; ADDRESS(expenses_max_row, COLUMN())))</f>
        <v>0</v>
      </c>
      <c r="EV46" s="20" cm="1">
        <f t="array" aca="1" ref="EV46" ca="1">SUM(INDIRECT(ADDRESS(expenses_min_row, COLUMN()) &amp;":" &amp; ADDRESS(expenses_max_row, COLUMN())))</f>
        <v>0</v>
      </c>
      <c r="EW46" s="20" cm="1">
        <f t="array" aca="1" ref="EW46" ca="1">SUM(INDIRECT(ADDRESS(expenses_min_row, COLUMN()) &amp;":" &amp; ADDRESS(expenses_max_row, COLUMN())))</f>
        <v>0</v>
      </c>
      <c r="EX46" s="20" cm="1">
        <f t="array" aca="1" ref="EX46" ca="1">SUM(INDIRECT(ADDRESS(expenses_min_row, COLUMN()) &amp;":" &amp; ADDRESS(expenses_max_row, COLUMN())))</f>
        <v>0</v>
      </c>
      <c r="EY46" s="20" cm="1">
        <f t="array" aca="1" ref="EY46" ca="1">SUM(INDIRECT(ADDRESS(expenses_min_row, COLUMN()) &amp;":" &amp; ADDRESS(expenses_max_row, COLUMN())))</f>
        <v>0</v>
      </c>
      <c r="EZ46" s="20" cm="1">
        <f t="array" aca="1" ref="EZ46" ca="1">SUM(INDIRECT(ADDRESS(expenses_min_row, COLUMN()) &amp;":" &amp; ADDRESS(expenses_max_row, COLUMN())))</f>
        <v>0</v>
      </c>
      <c r="FA46" s="20" cm="1">
        <f t="array" aca="1" ref="FA46" ca="1">SUM(INDIRECT(ADDRESS(expenses_min_row, COLUMN()) &amp;":" &amp; ADDRESS(expenses_max_row, COLUMN())))</f>
        <v>0</v>
      </c>
    </row>
    <row r="48" spans="3:157" x14ac:dyDescent="0.2">
      <c r="C48" s="12" t="s">
        <v>20</v>
      </c>
      <c r="E48" s="23">
        <f>DATE(E$6, 1, 1)</f>
        <v>45658</v>
      </c>
      <c r="F48" s="23">
        <f>DATE(E$6, 2, 1)</f>
        <v>45689</v>
      </c>
      <c r="G48" s="23">
        <f>DATE(E$6, 3, 1)</f>
        <v>45717</v>
      </c>
      <c r="H48" s="23">
        <f>DATE(E$6, 4, 1)</f>
        <v>45748</v>
      </c>
      <c r="I48" s="23">
        <f>DATE(E$6, 5, 1)</f>
        <v>45778</v>
      </c>
      <c r="J48" s="23">
        <f>DATE(E$6, 6, 1)</f>
        <v>45809</v>
      </c>
      <c r="K48" s="23">
        <f>DATE(E$6, 7, 1)</f>
        <v>45839</v>
      </c>
      <c r="L48" s="23">
        <f>DATE(E$6, 8, 1)</f>
        <v>45870</v>
      </c>
      <c r="M48" s="23">
        <f>DATE(E$6, 9, 1)</f>
        <v>45901</v>
      </c>
      <c r="N48" s="23">
        <f>DATE(E$6, 10, 1)</f>
        <v>45931</v>
      </c>
      <c r="O48" s="23">
        <f>DATE(E$6, 11, 1)</f>
        <v>45962</v>
      </c>
      <c r="P48" s="23">
        <f>DATE(E$6, 12, 1)</f>
        <v>45992</v>
      </c>
      <c r="Q48" s="24">
        <f>E$6</f>
        <v>2025</v>
      </c>
      <c r="S48" s="23">
        <f>DATE(S$6, 1, 1)</f>
        <v>46023</v>
      </c>
      <c r="T48" s="23">
        <f>DATE(S$6, 2, 1)</f>
        <v>46054</v>
      </c>
      <c r="U48" s="23">
        <f>DATE(S$6, 3, 1)</f>
        <v>46082</v>
      </c>
      <c r="V48" s="23">
        <f>DATE(S$6, 4, 1)</f>
        <v>46113</v>
      </c>
      <c r="W48" s="23">
        <f>DATE(S$6, 5, 1)</f>
        <v>46143</v>
      </c>
      <c r="X48" s="23">
        <f>DATE(S$6, 6, 1)</f>
        <v>46174</v>
      </c>
      <c r="Y48" s="23">
        <f>DATE(S$6, 7, 1)</f>
        <v>46204</v>
      </c>
      <c r="Z48" s="23">
        <f>DATE(S$6, 8, 1)</f>
        <v>46235</v>
      </c>
      <c r="AA48" s="23">
        <f>DATE(S$6, 9, 1)</f>
        <v>46266</v>
      </c>
      <c r="AB48" s="23">
        <f>DATE(S$6, 10, 1)</f>
        <v>46296</v>
      </c>
      <c r="AC48" s="23">
        <f>DATE(S$6, 11, 1)</f>
        <v>46327</v>
      </c>
      <c r="AD48" s="23">
        <f>DATE(S$6, 12, 1)</f>
        <v>46357</v>
      </c>
      <c r="AE48" s="24">
        <f>S$6</f>
        <v>2026</v>
      </c>
      <c r="AG48" s="23">
        <f t="shared" ref="AG48" si="411">DATE(AG$6, 1, 1)</f>
        <v>46388</v>
      </c>
      <c r="AH48" s="23">
        <f t="shared" ref="AH48" si="412">DATE(AG$6, 2, 1)</f>
        <v>46419</v>
      </c>
      <c r="AI48" s="23">
        <f t="shared" ref="AI48" si="413">DATE(AG$6, 3, 1)</f>
        <v>46447</v>
      </c>
      <c r="AJ48" s="23">
        <f t="shared" ref="AJ48" si="414">DATE(AG$6, 4, 1)</f>
        <v>46478</v>
      </c>
      <c r="AK48" s="23">
        <f t="shared" ref="AK48" si="415">DATE(AG$6, 5, 1)</f>
        <v>46508</v>
      </c>
      <c r="AL48" s="23">
        <f t="shared" ref="AL48" si="416">DATE(AG$6, 6, 1)</f>
        <v>46539</v>
      </c>
      <c r="AM48" s="23">
        <f t="shared" ref="AM48" si="417">DATE(AG$6, 7, 1)</f>
        <v>46569</v>
      </c>
      <c r="AN48" s="23">
        <f t="shared" ref="AN48" si="418">DATE(AG$6, 8, 1)</f>
        <v>46600</v>
      </c>
      <c r="AO48" s="23">
        <f t="shared" ref="AO48" si="419">DATE(AG$6, 9, 1)</f>
        <v>46631</v>
      </c>
      <c r="AP48" s="23">
        <f t="shared" ref="AP48" si="420">DATE(AG$6, 10, 1)</f>
        <v>46661</v>
      </c>
      <c r="AQ48" s="23">
        <f t="shared" ref="AQ48" si="421">DATE(AG$6, 11, 1)</f>
        <v>46692</v>
      </c>
      <c r="AR48" s="23">
        <f t="shared" ref="AR48" si="422">DATE(AG$6, 12, 1)</f>
        <v>46722</v>
      </c>
      <c r="AS48" s="24">
        <f t="shared" ref="AS48" si="423">AG$6</f>
        <v>2027</v>
      </c>
      <c r="AU48" s="23">
        <f t="shared" ref="AU48" si="424">DATE(AU$6, 1, 1)</f>
        <v>46753</v>
      </c>
      <c r="AV48" s="23">
        <f t="shared" ref="AV48" si="425">DATE(AU$6, 2, 1)</f>
        <v>46784</v>
      </c>
      <c r="AW48" s="23">
        <f t="shared" ref="AW48" si="426">DATE(AU$6, 3, 1)</f>
        <v>46813</v>
      </c>
      <c r="AX48" s="23">
        <f t="shared" ref="AX48" si="427">DATE(AU$6, 4, 1)</f>
        <v>46844</v>
      </c>
      <c r="AY48" s="23">
        <f t="shared" ref="AY48" si="428">DATE(AU$6, 5, 1)</f>
        <v>46874</v>
      </c>
      <c r="AZ48" s="23">
        <f t="shared" ref="AZ48" si="429">DATE(AU$6, 6, 1)</f>
        <v>46905</v>
      </c>
      <c r="BA48" s="23">
        <f t="shared" ref="BA48" si="430">DATE(AU$6, 7, 1)</f>
        <v>46935</v>
      </c>
      <c r="BB48" s="23">
        <f t="shared" ref="BB48" si="431">DATE(AU$6, 8, 1)</f>
        <v>46966</v>
      </c>
      <c r="BC48" s="23">
        <f t="shared" ref="BC48" si="432">DATE(AU$6, 9, 1)</f>
        <v>46997</v>
      </c>
      <c r="BD48" s="23">
        <f t="shared" ref="BD48" si="433">DATE(AU$6, 10, 1)</f>
        <v>47027</v>
      </c>
      <c r="BE48" s="23">
        <f t="shared" ref="BE48" si="434">DATE(AU$6, 11, 1)</f>
        <v>47058</v>
      </c>
      <c r="BF48" s="23">
        <f t="shared" ref="BF48" si="435">DATE(AU$6, 12, 1)</f>
        <v>47088</v>
      </c>
      <c r="BG48" s="24">
        <f t="shared" ref="BG48" si="436">AU$6</f>
        <v>2028</v>
      </c>
      <c r="BI48" s="23">
        <f t="shared" ref="BI48" si="437">DATE(BI$6, 1, 1)</f>
        <v>47119</v>
      </c>
      <c r="BJ48" s="23">
        <f t="shared" ref="BJ48" si="438">DATE(BI$6, 2, 1)</f>
        <v>47150</v>
      </c>
      <c r="BK48" s="23">
        <f t="shared" ref="BK48" si="439">DATE(BI$6, 3, 1)</f>
        <v>47178</v>
      </c>
      <c r="BL48" s="23">
        <f t="shared" ref="BL48" si="440">DATE(BI$6, 4, 1)</f>
        <v>47209</v>
      </c>
      <c r="BM48" s="23">
        <f t="shared" ref="BM48" si="441">DATE(BI$6, 5, 1)</f>
        <v>47239</v>
      </c>
      <c r="BN48" s="23">
        <f t="shared" ref="BN48" si="442">DATE(BI$6, 6, 1)</f>
        <v>47270</v>
      </c>
      <c r="BO48" s="23">
        <f t="shared" ref="BO48" si="443">DATE(BI$6, 7, 1)</f>
        <v>47300</v>
      </c>
      <c r="BP48" s="23">
        <f t="shared" ref="BP48" si="444">DATE(BI$6, 8, 1)</f>
        <v>47331</v>
      </c>
      <c r="BQ48" s="23">
        <f t="shared" ref="BQ48" si="445">DATE(BI$6, 9, 1)</f>
        <v>47362</v>
      </c>
      <c r="BR48" s="23">
        <f t="shared" ref="BR48" si="446">DATE(BI$6, 10, 1)</f>
        <v>47392</v>
      </c>
      <c r="BS48" s="23">
        <f t="shared" ref="BS48" si="447">DATE(BI$6, 11, 1)</f>
        <v>47423</v>
      </c>
      <c r="BT48" s="23">
        <f t="shared" ref="BT48" si="448">DATE(BI$6, 12, 1)</f>
        <v>47453</v>
      </c>
      <c r="BU48" s="24">
        <f t="shared" ref="BU48" si="449">BI$6</f>
        <v>2029</v>
      </c>
      <c r="BW48" s="23">
        <f t="shared" ref="BW48" si="450">DATE(BW$6, 1, 1)</f>
        <v>47484</v>
      </c>
      <c r="BX48" s="23">
        <f t="shared" ref="BX48" si="451">DATE(BW$6, 2, 1)</f>
        <v>47515</v>
      </c>
      <c r="BY48" s="23">
        <f t="shared" ref="BY48" si="452">DATE(BW$6, 3, 1)</f>
        <v>47543</v>
      </c>
      <c r="BZ48" s="23">
        <f t="shared" ref="BZ48" si="453">DATE(BW$6, 4, 1)</f>
        <v>47574</v>
      </c>
      <c r="CA48" s="23">
        <f t="shared" ref="CA48" si="454">DATE(BW$6, 5, 1)</f>
        <v>47604</v>
      </c>
      <c r="CB48" s="23">
        <f t="shared" ref="CB48" si="455">DATE(BW$6, 6, 1)</f>
        <v>47635</v>
      </c>
      <c r="CC48" s="23">
        <f t="shared" ref="CC48" si="456">DATE(BW$6, 7, 1)</f>
        <v>47665</v>
      </c>
      <c r="CD48" s="23">
        <f t="shared" ref="CD48" si="457">DATE(BW$6, 8, 1)</f>
        <v>47696</v>
      </c>
      <c r="CE48" s="23">
        <f t="shared" ref="CE48" si="458">DATE(BW$6, 9, 1)</f>
        <v>47727</v>
      </c>
      <c r="CF48" s="23">
        <f t="shared" ref="CF48" si="459">DATE(BW$6, 10, 1)</f>
        <v>47757</v>
      </c>
      <c r="CG48" s="23">
        <f t="shared" ref="CG48" si="460">DATE(BW$6, 11, 1)</f>
        <v>47788</v>
      </c>
      <c r="CH48" s="23">
        <f t="shared" ref="CH48" si="461">DATE(BW$6, 12, 1)</f>
        <v>47818</v>
      </c>
      <c r="CI48" s="24">
        <f t="shared" ref="CI48" si="462">BW$6</f>
        <v>2030</v>
      </c>
      <c r="CK48" s="23">
        <f t="shared" ref="CK48" si="463">DATE(CK$6, 1, 1)</f>
        <v>47849</v>
      </c>
      <c r="CL48" s="23">
        <f t="shared" ref="CL48" si="464">DATE(CK$6, 2, 1)</f>
        <v>47880</v>
      </c>
      <c r="CM48" s="23">
        <f t="shared" ref="CM48" si="465">DATE(CK$6, 3, 1)</f>
        <v>47908</v>
      </c>
      <c r="CN48" s="23">
        <f t="shared" ref="CN48" si="466">DATE(CK$6, 4, 1)</f>
        <v>47939</v>
      </c>
      <c r="CO48" s="23">
        <f t="shared" ref="CO48" si="467">DATE(CK$6, 5, 1)</f>
        <v>47969</v>
      </c>
      <c r="CP48" s="23">
        <f t="shared" ref="CP48" si="468">DATE(CK$6, 6, 1)</f>
        <v>48000</v>
      </c>
      <c r="CQ48" s="23">
        <f t="shared" ref="CQ48" si="469">DATE(CK$6, 7, 1)</f>
        <v>48030</v>
      </c>
      <c r="CR48" s="23">
        <f t="shared" ref="CR48" si="470">DATE(CK$6, 8, 1)</f>
        <v>48061</v>
      </c>
      <c r="CS48" s="23">
        <f t="shared" ref="CS48" si="471">DATE(CK$6, 9, 1)</f>
        <v>48092</v>
      </c>
      <c r="CT48" s="23">
        <f t="shared" ref="CT48" si="472">DATE(CK$6, 10, 1)</f>
        <v>48122</v>
      </c>
      <c r="CU48" s="23">
        <f t="shared" ref="CU48" si="473">DATE(CK$6, 11, 1)</f>
        <v>48153</v>
      </c>
      <c r="CV48" s="23">
        <f t="shared" ref="CV48" si="474">DATE(CK$6, 12, 1)</f>
        <v>48183</v>
      </c>
      <c r="CW48" s="24">
        <f t="shared" ref="CW48" si="475">CK$6</f>
        <v>2031</v>
      </c>
      <c r="CY48" s="23">
        <f t="shared" ref="CY48" si="476">DATE(CY$6, 1, 1)</f>
        <v>48214</v>
      </c>
      <c r="CZ48" s="23">
        <f t="shared" ref="CZ48" si="477">DATE(CY$6, 2, 1)</f>
        <v>48245</v>
      </c>
      <c r="DA48" s="23">
        <f t="shared" ref="DA48" si="478">DATE(CY$6, 3, 1)</f>
        <v>48274</v>
      </c>
      <c r="DB48" s="23">
        <f t="shared" ref="DB48" si="479">DATE(CY$6, 4, 1)</f>
        <v>48305</v>
      </c>
      <c r="DC48" s="23">
        <f t="shared" ref="DC48" si="480">DATE(CY$6, 5, 1)</f>
        <v>48335</v>
      </c>
      <c r="DD48" s="23">
        <f t="shared" ref="DD48" si="481">DATE(CY$6, 6, 1)</f>
        <v>48366</v>
      </c>
      <c r="DE48" s="23">
        <f t="shared" ref="DE48" si="482">DATE(CY$6, 7, 1)</f>
        <v>48396</v>
      </c>
      <c r="DF48" s="23">
        <f t="shared" ref="DF48" si="483">DATE(CY$6, 8, 1)</f>
        <v>48427</v>
      </c>
      <c r="DG48" s="23">
        <f t="shared" ref="DG48" si="484">DATE(CY$6, 9, 1)</f>
        <v>48458</v>
      </c>
      <c r="DH48" s="23">
        <f t="shared" ref="DH48" si="485">DATE(CY$6, 10, 1)</f>
        <v>48488</v>
      </c>
      <c r="DI48" s="23">
        <f t="shared" ref="DI48" si="486">DATE(CY$6, 11, 1)</f>
        <v>48519</v>
      </c>
      <c r="DJ48" s="23">
        <f t="shared" ref="DJ48" si="487">DATE(CY$6, 12, 1)</f>
        <v>48549</v>
      </c>
      <c r="DK48" s="24">
        <f t="shared" ref="DK48" si="488">CY$6</f>
        <v>2032</v>
      </c>
      <c r="DM48" s="23">
        <f t="shared" ref="DM48" si="489">DATE(DM$6, 1, 1)</f>
        <v>48580</v>
      </c>
      <c r="DN48" s="23">
        <f t="shared" ref="DN48" si="490">DATE(DM$6, 2, 1)</f>
        <v>48611</v>
      </c>
      <c r="DO48" s="23">
        <f t="shared" ref="DO48" si="491">DATE(DM$6, 3, 1)</f>
        <v>48639</v>
      </c>
      <c r="DP48" s="23">
        <f t="shared" ref="DP48" si="492">DATE(DM$6, 4, 1)</f>
        <v>48670</v>
      </c>
      <c r="DQ48" s="23">
        <f t="shared" ref="DQ48" si="493">DATE(DM$6, 5, 1)</f>
        <v>48700</v>
      </c>
      <c r="DR48" s="23">
        <f t="shared" ref="DR48" si="494">DATE(DM$6, 6, 1)</f>
        <v>48731</v>
      </c>
      <c r="DS48" s="23">
        <f t="shared" ref="DS48" si="495">DATE(DM$6, 7, 1)</f>
        <v>48761</v>
      </c>
      <c r="DT48" s="23">
        <f t="shared" ref="DT48" si="496">DATE(DM$6, 8, 1)</f>
        <v>48792</v>
      </c>
      <c r="DU48" s="23">
        <f t="shared" ref="DU48" si="497">DATE(DM$6, 9, 1)</f>
        <v>48823</v>
      </c>
      <c r="DV48" s="23">
        <f t="shared" ref="DV48" si="498">DATE(DM$6, 10, 1)</f>
        <v>48853</v>
      </c>
      <c r="DW48" s="23">
        <f t="shared" ref="DW48" si="499">DATE(DM$6, 11, 1)</f>
        <v>48884</v>
      </c>
      <c r="DX48" s="23">
        <f t="shared" ref="DX48" si="500">DATE(DM$6, 12, 1)</f>
        <v>48914</v>
      </c>
      <c r="DY48" s="24">
        <f t="shared" ref="DY48" si="501">DM$6</f>
        <v>2033</v>
      </c>
      <c r="EA48" s="23">
        <f t="shared" ref="EA48:EO48" si="502">DATE(EA$6, 1, 1)</f>
        <v>48945</v>
      </c>
      <c r="EB48" s="23">
        <f t="shared" ref="EB48" si="503">DATE(EA$6, 2, 1)</f>
        <v>48976</v>
      </c>
      <c r="EC48" s="23">
        <f t="shared" ref="EC48" si="504">DATE(EA$6, 3, 1)</f>
        <v>49004</v>
      </c>
      <c r="ED48" s="23">
        <f t="shared" ref="ED48" si="505">DATE(EA$6, 4, 1)</f>
        <v>49035</v>
      </c>
      <c r="EE48" s="23">
        <f t="shared" ref="EE48" si="506">DATE(EA$6, 5, 1)</f>
        <v>49065</v>
      </c>
      <c r="EF48" s="23">
        <f t="shared" ref="EF48" si="507">DATE(EA$6, 6, 1)</f>
        <v>49096</v>
      </c>
      <c r="EG48" s="23">
        <f t="shared" ref="EG48" si="508">DATE(EA$6, 7, 1)</f>
        <v>49126</v>
      </c>
      <c r="EH48" s="23">
        <f t="shared" ref="EH48" si="509">DATE(EA$6, 8, 1)</f>
        <v>49157</v>
      </c>
      <c r="EI48" s="23">
        <f t="shared" ref="EI48" si="510">DATE(EA$6, 9, 1)</f>
        <v>49188</v>
      </c>
      <c r="EJ48" s="23">
        <f t="shared" ref="EJ48" si="511">DATE(EA$6, 10, 1)</f>
        <v>49218</v>
      </c>
      <c r="EK48" s="23">
        <f t="shared" ref="EK48" si="512">DATE(EA$6, 11, 1)</f>
        <v>49249</v>
      </c>
      <c r="EL48" s="23">
        <f t="shared" ref="EL48" si="513">DATE(EA$6, 12, 1)</f>
        <v>49279</v>
      </c>
      <c r="EM48" s="24">
        <f t="shared" ref="EM48" si="514">EA$6</f>
        <v>2034</v>
      </c>
      <c r="EO48" s="23">
        <f t="shared" si="502"/>
        <v>49310</v>
      </c>
      <c r="EP48" s="23">
        <f t="shared" ref="EP48" si="515">DATE(EO$6, 2, 1)</f>
        <v>49341</v>
      </c>
      <c r="EQ48" s="23">
        <f t="shared" ref="EQ48" si="516">DATE(EO$6, 3, 1)</f>
        <v>49369</v>
      </c>
      <c r="ER48" s="23">
        <f t="shared" ref="ER48" si="517">DATE(EO$6, 4, 1)</f>
        <v>49400</v>
      </c>
      <c r="ES48" s="23">
        <f t="shared" ref="ES48" si="518">DATE(EO$6, 5, 1)</f>
        <v>49430</v>
      </c>
      <c r="ET48" s="23">
        <f t="shared" ref="ET48" si="519">DATE(EO$6, 6, 1)</f>
        <v>49461</v>
      </c>
      <c r="EU48" s="23">
        <f t="shared" ref="EU48" si="520">DATE(EO$6, 7, 1)</f>
        <v>49491</v>
      </c>
      <c r="EV48" s="23">
        <f t="shared" ref="EV48" si="521">DATE(EO$6, 8, 1)</f>
        <v>49522</v>
      </c>
      <c r="EW48" s="23">
        <f t="shared" ref="EW48" si="522">DATE(EO$6, 9, 1)</f>
        <v>49553</v>
      </c>
      <c r="EX48" s="23">
        <f t="shared" ref="EX48" si="523">DATE(EO$6, 10, 1)</f>
        <v>49583</v>
      </c>
      <c r="EY48" s="23">
        <f t="shared" ref="EY48" si="524">DATE(EO$6, 11, 1)</f>
        <v>49614</v>
      </c>
      <c r="EZ48" s="23">
        <f t="shared" ref="EZ48" si="525">DATE(EO$6, 12, 1)</f>
        <v>49644</v>
      </c>
      <c r="FA48" s="24">
        <f t="shared" ref="FA48" si="526">EO$6</f>
        <v>2035</v>
      </c>
    </row>
    <row r="49" spans="3:157" x14ac:dyDescent="0.2">
      <c r="C49" s="17" t="s">
        <v>21</v>
      </c>
      <c r="D49" s="1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>
        <f>SUM(E49:P49)</f>
        <v>0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>
        <f>SUM(S49:AD49)</f>
        <v>0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>
        <f t="shared" ref="AS49:AS50" si="527">SUM(AG49:AR49)</f>
        <v>0</v>
      </c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>
        <f t="shared" ref="BG49:BG50" si="528">SUM(AU49:BF49)</f>
        <v>0</v>
      </c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>
        <f t="shared" ref="BU49:BU50" si="529">SUM(BI49:BT49)</f>
        <v>0</v>
      </c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>
        <f t="shared" ref="CI49:CI50" si="530">SUM(BW49:CH49)</f>
        <v>0</v>
      </c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>
        <f t="shared" ref="CW49:CW50" si="531">SUM(CK49:CV49)</f>
        <v>0</v>
      </c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>
        <f t="shared" ref="DK49:DK50" si="532">SUM(CY49:DJ49)</f>
        <v>0</v>
      </c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>
        <f t="shared" ref="DY49:DY50" si="533">SUM(DM49:DX49)</f>
        <v>0</v>
      </c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>
        <f t="shared" ref="EM49:EM50" si="534">SUM(EA49:EL49)</f>
        <v>0</v>
      </c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>
        <f t="shared" ref="FA49:FA50" si="535">SUM(EO49:EZ49)</f>
        <v>0</v>
      </c>
    </row>
    <row r="50" spans="3:157" x14ac:dyDescent="0.2">
      <c r="C50" s="17" t="s">
        <v>22</v>
      </c>
      <c r="D50" s="1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>
        <f>SUM(E50:P50)</f>
        <v>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>
        <f>SUM(S50:AD50)</f>
        <v>0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>
        <f t="shared" si="527"/>
        <v>0</v>
      </c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>
        <f t="shared" si="528"/>
        <v>0</v>
      </c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>
        <f t="shared" si="529"/>
        <v>0</v>
      </c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>
        <f t="shared" si="530"/>
        <v>0</v>
      </c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>
        <f t="shared" si="531"/>
        <v>0</v>
      </c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>
        <f t="shared" si="532"/>
        <v>0</v>
      </c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>
        <f t="shared" si="533"/>
        <v>0</v>
      </c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>
        <f t="shared" si="534"/>
        <v>0</v>
      </c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>
        <f t="shared" si="535"/>
        <v>0</v>
      </c>
    </row>
    <row r="51" spans="3:157" x14ac:dyDescent="0.2">
      <c r="C51" s="17" t="s">
        <v>23</v>
      </c>
      <c r="D51" s="1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>
        <f t="shared" ref="Q51" si="536">SUM(E51:P51)</f>
        <v>0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>
        <f t="shared" ref="AE51:AE63" si="537">SUM(S51:AD51)</f>
        <v>0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>
        <f t="shared" ref="AS51:AS64" si="538">SUM(AG51:AR51)</f>
        <v>0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>
        <f t="shared" ref="BG51:BG64" si="539">SUM(AU51:BF51)</f>
        <v>0</v>
      </c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>
        <f t="shared" ref="BU51:BU64" si="540">SUM(BI51:BT51)</f>
        <v>0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>
        <f t="shared" ref="CI51:CI64" si="541">SUM(BW51:CH51)</f>
        <v>0</v>
      </c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>
        <f t="shared" ref="CW51:CW64" si="542">SUM(CK51:CV51)</f>
        <v>0</v>
      </c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>
        <f t="shared" ref="DK51:DK64" si="543">SUM(CY51:DJ51)</f>
        <v>0</v>
      </c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>
        <f t="shared" ref="DY51:DY64" si="544">SUM(DM51:DX51)</f>
        <v>0</v>
      </c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>
        <f t="shared" ref="EM51:EM64" si="545">SUM(EA51:EL51)</f>
        <v>0</v>
      </c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>
        <f t="shared" ref="FA51:FA64" si="546">SUM(EO51:EZ51)</f>
        <v>0</v>
      </c>
    </row>
    <row r="52" spans="3:157" hidden="1" x14ac:dyDescent="0.2">
      <c r="C52" s="17" t="s">
        <v>19</v>
      </c>
      <c r="D52" s="1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>
        <f t="shared" ref="Q52:Q63" si="547">SUM(E52:P52)</f>
        <v>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>
        <f t="shared" si="537"/>
        <v>0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>
        <f t="shared" si="538"/>
        <v>0</v>
      </c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>
        <f t="shared" si="539"/>
        <v>0</v>
      </c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>
        <f t="shared" si="540"/>
        <v>0</v>
      </c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>
        <f t="shared" si="541"/>
        <v>0</v>
      </c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>
        <f t="shared" si="542"/>
        <v>0</v>
      </c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>
        <f t="shared" si="543"/>
        <v>0</v>
      </c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>
        <f t="shared" si="544"/>
        <v>0</v>
      </c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>
        <f t="shared" si="545"/>
        <v>0</v>
      </c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>
        <f t="shared" si="546"/>
        <v>0</v>
      </c>
    </row>
    <row r="53" spans="3:157" hidden="1" x14ac:dyDescent="0.2">
      <c r="C53" s="17" t="s">
        <v>19</v>
      </c>
      <c r="D53" s="1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>
        <f t="shared" si="547"/>
        <v>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>
        <f t="shared" si="537"/>
        <v>0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>
        <f t="shared" si="538"/>
        <v>0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>
        <f t="shared" si="539"/>
        <v>0</v>
      </c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>
        <f t="shared" si="540"/>
        <v>0</v>
      </c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>
        <f t="shared" si="541"/>
        <v>0</v>
      </c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>
        <f t="shared" si="542"/>
        <v>0</v>
      </c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>
        <f t="shared" si="543"/>
        <v>0</v>
      </c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>
        <f t="shared" si="544"/>
        <v>0</v>
      </c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>
        <f t="shared" si="545"/>
        <v>0</v>
      </c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>
        <f t="shared" si="546"/>
        <v>0</v>
      </c>
    </row>
    <row r="54" spans="3:157" hidden="1" x14ac:dyDescent="0.2">
      <c r="C54" s="17" t="s">
        <v>19</v>
      </c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>
        <f t="shared" si="547"/>
        <v>0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>
        <f t="shared" si="537"/>
        <v>0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>
        <f t="shared" si="538"/>
        <v>0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>
        <f t="shared" si="539"/>
        <v>0</v>
      </c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>
        <f t="shared" si="540"/>
        <v>0</v>
      </c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>
        <f t="shared" si="541"/>
        <v>0</v>
      </c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>
        <f t="shared" si="542"/>
        <v>0</v>
      </c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>
        <f t="shared" si="543"/>
        <v>0</v>
      </c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>
        <f t="shared" si="544"/>
        <v>0</v>
      </c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>
        <f t="shared" si="545"/>
        <v>0</v>
      </c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>
        <f t="shared" si="546"/>
        <v>0</v>
      </c>
    </row>
    <row r="55" spans="3:157" hidden="1" x14ac:dyDescent="0.2">
      <c r="C55" s="17" t="s">
        <v>19</v>
      </c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>
        <f t="shared" si="547"/>
        <v>0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>
        <f t="shared" si="537"/>
        <v>0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>
        <f t="shared" si="538"/>
        <v>0</v>
      </c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>
        <f t="shared" si="539"/>
        <v>0</v>
      </c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>
        <f t="shared" si="540"/>
        <v>0</v>
      </c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>
        <f t="shared" si="541"/>
        <v>0</v>
      </c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>
        <f t="shared" si="542"/>
        <v>0</v>
      </c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>
        <f t="shared" si="543"/>
        <v>0</v>
      </c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>
        <f t="shared" si="544"/>
        <v>0</v>
      </c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>
        <f t="shared" si="545"/>
        <v>0</v>
      </c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>
        <f t="shared" si="546"/>
        <v>0</v>
      </c>
    </row>
    <row r="56" spans="3:157" hidden="1" x14ac:dyDescent="0.2">
      <c r="C56" s="17" t="s">
        <v>19</v>
      </c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>
        <f t="shared" si="547"/>
        <v>0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>
        <f t="shared" si="537"/>
        <v>0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>
        <f t="shared" si="538"/>
        <v>0</v>
      </c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>
        <f t="shared" si="539"/>
        <v>0</v>
      </c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>
        <f t="shared" si="540"/>
        <v>0</v>
      </c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>
        <f t="shared" si="541"/>
        <v>0</v>
      </c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>
        <f t="shared" si="542"/>
        <v>0</v>
      </c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>
        <f t="shared" si="543"/>
        <v>0</v>
      </c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>
        <f t="shared" si="544"/>
        <v>0</v>
      </c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>
        <f t="shared" si="545"/>
        <v>0</v>
      </c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>
        <f t="shared" si="546"/>
        <v>0</v>
      </c>
    </row>
    <row r="57" spans="3:157" hidden="1" x14ac:dyDescent="0.2">
      <c r="C57" s="17" t="s">
        <v>19</v>
      </c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>
        <f t="shared" si="547"/>
        <v>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>
        <f t="shared" si="537"/>
        <v>0</v>
      </c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>
        <f t="shared" si="538"/>
        <v>0</v>
      </c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>
        <f t="shared" si="539"/>
        <v>0</v>
      </c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>
        <f t="shared" si="540"/>
        <v>0</v>
      </c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>
        <f t="shared" si="541"/>
        <v>0</v>
      </c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>
        <f t="shared" si="542"/>
        <v>0</v>
      </c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>
        <f t="shared" si="543"/>
        <v>0</v>
      </c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>
        <f t="shared" si="544"/>
        <v>0</v>
      </c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>
        <f t="shared" si="545"/>
        <v>0</v>
      </c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>
        <f t="shared" si="546"/>
        <v>0</v>
      </c>
    </row>
    <row r="58" spans="3:157" hidden="1" x14ac:dyDescent="0.2">
      <c r="C58" s="17" t="s">
        <v>19</v>
      </c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>
        <f t="shared" si="547"/>
        <v>0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>
        <f t="shared" si="537"/>
        <v>0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>
        <f t="shared" si="538"/>
        <v>0</v>
      </c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>
        <f t="shared" si="539"/>
        <v>0</v>
      </c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>
        <f t="shared" si="540"/>
        <v>0</v>
      </c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>
        <f t="shared" si="541"/>
        <v>0</v>
      </c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>
        <f t="shared" si="542"/>
        <v>0</v>
      </c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>
        <f t="shared" si="543"/>
        <v>0</v>
      </c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>
        <f t="shared" si="544"/>
        <v>0</v>
      </c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>
        <f t="shared" si="545"/>
        <v>0</v>
      </c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>
        <f t="shared" si="546"/>
        <v>0</v>
      </c>
    </row>
    <row r="59" spans="3:157" hidden="1" x14ac:dyDescent="0.2">
      <c r="C59" s="17" t="s">
        <v>19</v>
      </c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>
        <f t="shared" si="547"/>
        <v>0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>
        <f t="shared" si="537"/>
        <v>0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>
        <f t="shared" si="538"/>
        <v>0</v>
      </c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>
        <f t="shared" si="539"/>
        <v>0</v>
      </c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>
        <f t="shared" si="540"/>
        <v>0</v>
      </c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>
        <f t="shared" si="541"/>
        <v>0</v>
      </c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>
        <f t="shared" si="542"/>
        <v>0</v>
      </c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>
        <f t="shared" si="543"/>
        <v>0</v>
      </c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>
        <f t="shared" si="544"/>
        <v>0</v>
      </c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>
        <f t="shared" si="545"/>
        <v>0</v>
      </c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>
        <f t="shared" si="546"/>
        <v>0</v>
      </c>
    </row>
    <row r="60" spans="3:157" hidden="1" x14ac:dyDescent="0.2">
      <c r="C60" s="17" t="s">
        <v>19</v>
      </c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>
        <f t="shared" si="547"/>
        <v>0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>
        <f t="shared" si="537"/>
        <v>0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>
        <f t="shared" si="538"/>
        <v>0</v>
      </c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>
        <f t="shared" si="539"/>
        <v>0</v>
      </c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>
        <f t="shared" si="540"/>
        <v>0</v>
      </c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>
        <f t="shared" si="541"/>
        <v>0</v>
      </c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>
        <f t="shared" si="542"/>
        <v>0</v>
      </c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>
        <f t="shared" si="543"/>
        <v>0</v>
      </c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>
        <f t="shared" si="544"/>
        <v>0</v>
      </c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>
        <f t="shared" si="545"/>
        <v>0</v>
      </c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>
        <f t="shared" si="546"/>
        <v>0</v>
      </c>
    </row>
    <row r="61" spans="3:157" hidden="1" x14ac:dyDescent="0.2">
      <c r="C61" s="17" t="s">
        <v>19</v>
      </c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>
        <f t="shared" si="547"/>
        <v>0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>
        <f t="shared" si="537"/>
        <v>0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>
        <f t="shared" si="538"/>
        <v>0</v>
      </c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>
        <f t="shared" si="539"/>
        <v>0</v>
      </c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>
        <f t="shared" si="540"/>
        <v>0</v>
      </c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>
        <f t="shared" si="541"/>
        <v>0</v>
      </c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>
        <f t="shared" si="542"/>
        <v>0</v>
      </c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>
        <f t="shared" si="543"/>
        <v>0</v>
      </c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>
        <f t="shared" si="544"/>
        <v>0</v>
      </c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>
        <f t="shared" si="545"/>
        <v>0</v>
      </c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>
        <f t="shared" si="546"/>
        <v>0</v>
      </c>
    </row>
    <row r="62" spans="3:157" hidden="1" x14ac:dyDescent="0.2">
      <c r="C62" s="17" t="s">
        <v>19</v>
      </c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>
        <f t="shared" si="547"/>
        <v>0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>
        <f t="shared" si="537"/>
        <v>0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>
        <f t="shared" si="538"/>
        <v>0</v>
      </c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>
        <f t="shared" si="539"/>
        <v>0</v>
      </c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>
        <f t="shared" si="540"/>
        <v>0</v>
      </c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>
        <f t="shared" si="541"/>
        <v>0</v>
      </c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>
        <f t="shared" si="542"/>
        <v>0</v>
      </c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>
        <f t="shared" si="543"/>
        <v>0</v>
      </c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>
        <f t="shared" si="544"/>
        <v>0</v>
      </c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>
        <f t="shared" si="545"/>
        <v>0</v>
      </c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>
        <f t="shared" si="546"/>
        <v>0</v>
      </c>
    </row>
    <row r="63" spans="3:157" hidden="1" x14ac:dyDescent="0.2">
      <c r="C63" s="17" t="s">
        <v>19</v>
      </c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>
        <f t="shared" si="547"/>
        <v>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>
        <f t="shared" si="537"/>
        <v>0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>
        <f t="shared" si="538"/>
        <v>0</v>
      </c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>
        <f t="shared" si="539"/>
        <v>0</v>
      </c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>
        <f t="shared" si="540"/>
        <v>0</v>
      </c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>
        <f t="shared" si="541"/>
        <v>0</v>
      </c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>
        <f t="shared" si="542"/>
        <v>0</v>
      </c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>
        <f t="shared" si="543"/>
        <v>0</v>
      </c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>
        <f t="shared" si="544"/>
        <v>0</v>
      </c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>
        <f t="shared" si="545"/>
        <v>0</v>
      </c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>
        <f t="shared" si="546"/>
        <v>0</v>
      </c>
    </row>
    <row r="64" spans="3:157" hidden="1" x14ac:dyDescent="0.2">
      <c r="C64" s="17" t="s">
        <v>19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9">
        <f>SUM(E64:P64)</f>
        <v>0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19">
        <f>SUM(S64:AD64)</f>
        <v>0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19">
        <f t="shared" si="538"/>
        <v>0</v>
      </c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19">
        <f t="shared" si="539"/>
        <v>0</v>
      </c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19">
        <f t="shared" si="540"/>
        <v>0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19">
        <f t="shared" si="541"/>
        <v>0</v>
      </c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19">
        <f t="shared" si="542"/>
        <v>0</v>
      </c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19">
        <f t="shared" si="543"/>
        <v>0</v>
      </c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19">
        <f t="shared" si="544"/>
        <v>0</v>
      </c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19">
        <f t="shared" si="545"/>
        <v>0</v>
      </c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19">
        <f t="shared" si="546"/>
        <v>0</v>
      </c>
    </row>
    <row r="65" spans="3:157" x14ac:dyDescent="0.2">
      <c r="C65" s="13" t="s">
        <v>11</v>
      </c>
      <c r="E65" s="20" cm="1">
        <f t="array" aca="1" ref="E65" ca="1">SUM(INDIRECT(ADDRESS(savings_min_row, COLUMN()) &amp;":" &amp; ADDRESS(savings_max_row, COLUMN())))</f>
        <v>0</v>
      </c>
      <c r="F65" s="20" cm="1">
        <f t="array" aca="1" ref="F65" ca="1">SUM(INDIRECT(ADDRESS(savings_min_row, COLUMN()) &amp;":" &amp; ADDRESS(savings_max_row, COLUMN())))</f>
        <v>0</v>
      </c>
      <c r="G65" s="20" cm="1">
        <f t="array" aca="1" ref="G65" ca="1">SUM(INDIRECT(ADDRESS(savings_min_row, COLUMN()) &amp;":" &amp; ADDRESS(savings_max_row, COLUMN())))</f>
        <v>0</v>
      </c>
      <c r="H65" s="20" cm="1">
        <f t="array" aca="1" ref="H65" ca="1">SUM(INDIRECT(ADDRESS(savings_min_row, COLUMN()) &amp;":" &amp; ADDRESS(savings_max_row, COLUMN())))</f>
        <v>0</v>
      </c>
      <c r="I65" s="20" cm="1">
        <f t="array" aca="1" ref="I65" ca="1">SUM(INDIRECT(ADDRESS(savings_min_row, COLUMN()) &amp;":" &amp; ADDRESS(savings_max_row, COLUMN())))</f>
        <v>0</v>
      </c>
      <c r="J65" s="20" cm="1">
        <f t="array" aca="1" ref="J65" ca="1">SUM(INDIRECT(ADDRESS(savings_min_row, COLUMN()) &amp;":" &amp; ADDRESS(savings_max_row, COLUMN())))</f>
        <v>0</v>
      </c>
      <c r="K65" s="20" cm="1">
        <f t="array" aca="1" ref="K65" ca="1">SUM(INDIRECT(ADDRESS(savings_min_row, COLUMN()) &amp;":" &amp; ADDRESS(savings_max_row, COLUMN())))</f>
        <v>0</v>
      </c>
      <c r="L65" s="20" cm="1">
        <f t="array" aca="1" ref="L65" ca="1">SUM(INDIRECT(ADDRESS(savings_min_row, COLUMN()) &amp;":" &amp; ADDRESS(savings_max_row, COLUMN())))</f>
        <v>0</v>
      </c>
      <c r="M65" s="20" cm="1">
        <f t="array" aca="1" ref="M65" ca="1">SUM(INDIRECT(ADDRESS(savings_min_row, COLUMN()) &amp;":" &amp; ADDRESS(savings_max_row, COLUMN())))</f>
        <v>0</v>
      </c>
      <c r="N65" s="20" cm="1">
        <f t="array" aca="1" ref="N65" ca="1">SUM(INDIRECT(ADDRESS(savings_min_row, COLUMN()) &amp;":" &amp; ADDRESS(savings_max_row, COLUMN())))</f>
        <v>0</v>
      </c>
      <c r="O65" s="20" cm="1">
        <f t="array" aca="1" ref="O65" ca="1">SUM(INDIRECT(ADDRESS(savings_min_row, COLUMN()) &amp;":" &amp; ADDRESS(savings_max_row, COLUMN())))</f>
        <v>0</v>
      </c>
      <c r="P65" s="20" cm="1">
        <f t="array" aca="1" ref="P65" ca="1">SUM(INDIRECT(ADDRESS(savings_min_row, COLUMN()) &amp;":" &amp; ADDRESS(savings_max_row, COLUMN())))</f>
        <v>0</v>
      </c>
      <c r="Q65" s="20" cm="1">
        <f t="array" aca="1" ref="Q65" ca="1">SUM(INDIRECT(ADDRESS(savings_min_row, COLUMN()) &amp;":" &amp; ADDRESS(savings_max_row, COLUMN())))</f>
        <v>0</v>
      </c>
      <c r="S65" s="20" cm="1">
        <f t="array" aca="1" ref="S65" ca="1">SUM(INDIRECT(ADDRESS(savings_min_row, COLUMN()) &amp;":" &amp; ADDRESS(savings_max_row, COLUMN())))</f>
        <v>0</v>
      </c>
      <c r="T65" s="20" cm="1">
        <f t="array" aca="1" ref="T65" ca="1">SUM(INDIRECT(ADDRESS(savings_min_row, COLUMN()) &amp;":" &amp; ADDRESS(savings_max_row, COLUMN())))</f>
        <v>0</v>
      </c>
      <c r="U65" s="20" cm="1">
        <f t="array" aca="1" ref="U65" ca="1">SUM(INDIRECT(ADDRESS(savings_min_row, COLUMN()) &amp;":" &amp; ADDRESS(savings_max_row, COLUMN())))</f>
        <v>0</v>
      </c>
      <c r="V65" s="20" cm="1">
        <f t="array" aca="1" ref="V65" ca="1">SUM(INDIRECT(ADDRESS(savings_min_row, COLUMN()) &amp;":" &amp; ADDRESS(savings_max_row, COLUMN())))</f>
        <v>0</v>
      </c>
      <c r="W65" s="20" cm="1">
        <f t="array" aca="1" ref="W65" ca="1">SUM(INDIRECT(ADDRESS(savings_min_row, COLUMN()) &amp;":" &amp; ADDRESS(savings_max_row, COLUMN())))</f>
        <v>0</v>
      </c>
      <c r="X65" s="20" cm="1">
        <f t="array" aca="1" ref="X65" ca="1">SUM(INDIRECT(ADDRESS(savings_min_row, COLUMN()) &amp;":" &amp; ADDRESS(savings_max_row, COLUMN())))</f>
        <v>0</v>
      </c>
      <c r="Y65" s="20" cm="1">
        <f t="array" aca="1" ref="Y65" ca="1">SUM(INDIRECT(ADDRESS(savings_min_row, COLUMN()) &amp;":" &amp; ADDRESS(savings_max_row, COLUMN())))</f>
        <v>0</v>
      </c>
      <c r="Z65" s="20" cm="1">
        <f t="array" aca="1" ref="Z65" ca="1">SUM(INDIRECT(ADDRESS(savings_min_row, COLUMN()) &amp;":" &amp; ADDRESS(savings_max_row, COLUMN())))</f>
        <v>0</v>
      </c>
      <c r="AA65" s="20" cm="1">
        <f t="array" aca="1" ref="AA65" ca="1">SUM(INDIRECT(ADDRESS(savings_min_row, COLUMN()) &amp;":" &amp; ADDRESS(savings_max_row, COLUMN())))</f>
        <v>0</v>
      </c>
      <c r="AB65" s="20" cm="1">
        <f t="array" aca="1" ref="AB65" ca="1">SUM(INDIRECT(ADDRESS(savings_min_row, COLUMN()) &amp;":" &amp; ADDRESS(savings_max_row, COLUMN())))</f>
        <v>0</v>
      </c>
      <c r="AC65" s="20" cm="1">
        <f t="array" aca="1" ref="AC65" ca="1">SUM(INDIRECT(ADDRESS(savings_min_row, COLUMN()) &amp;":" &amp; ADDRESS(savings_max_row, COLUMN())))</f>
        <v>0</v>
      </c>
      <c r="AD65" s="20" cm="1">
        <f t="array" aca="1" ref="AD65" ca="1">SUM(INDIRECT(ADDRESS(savings_min_row, COLUMN()) &amp;":" &amp; ADDRESS(savings_max_row, COLUMN())))</f>
        <v>0</v>
      </c>
      <c r="AE65" s="20" cm="1">
        <f t="array" aca="1" ref="AE65" ca="1">SUM(INDIRECT(ADDRESS(savings_min_row, COLUMN()) &amp;":" &amp; ADDRESS(savings_max_row, COLUMN())))</f>
        <v>0</v>
      </c>
      <c r="AG65" s="20" cm="1">
        <f t="array" aca="1" ref="AG65" ca="1">SUM(INDIRECT(ADDRESS(savings_min_row, COLUMN()) &amp;":" &amp; ADDRESS(savings_max_row, COLUMN())))</f>
        <v>0</v>
      </c>
      <c r="AH65" s="20" cm="1">
        <f t="array" aca="1" ref="AH65" ca="1">SUM(INDIRECT(ADDRESS(savings_min_row, COLUMN()) &amp;":" &amp; ADDRESS(savings_max_row, COLUMN())))</f>
        <v>0</v>
      </c>
      <c r="AI65" s="20" cm="1">
        <f t="array" aca="1" ref="AI65" ca="1">SUM(INDIRECT(ADDRESS(savings_min_row, COLUMN()) &amp;":" &amp; ADDRESS(savings_max_row, COLUMN())))</f>
        <v>0</v>
      </c>
      <c r="AJ65" s="20" cm="1">
        <f t="array" aca="1" ref="AJ65" ca="1">SUM(INDIRECT(ADDRESS(savings_min_row, COLUMN()) &amp;":" &amp; ADDRESS(savings_max_row, COLUMN())))</f>
        <v>0</v>
      </c>
      <c r="AK65" s="20" cm="1">
        <f t="array" aca="1" ref="AK65" ca="1">SUM(INDIRECT(ADDRESS(savings_min_row, COLUMN()) &amp;":" &amp; ADDRESS(savings_max_row, COLUMN())))</f>
        <v>0</v>
      </c>
      <c r="AL65" s="20" cm="1">
        <f t="array" aca="1" ref="AL65" ca="1">SUM(INDIRECT(ADDRESS(savings_min_row, COLUMN()) &amp;":" &amp; ADDRESS(savings_max_row, COLUMN())))</f>
        <v>0</v>
      </c>
      <c r="AM65" s="20" cm="1">
        <f t="array" aca="1" ref="AM65" ca="1">SUM(INDIRECT(ADDRESS(savings_min_row, COLUMN()) &amp;":" &amp; ADDRESS(savings_max_row, COLUMN())))</f>
        <v>0</v>
      </c>
      <c r="AN65" s="20" cm="1">
        <f t="array" aca="1" ref="AN65" ca="1">SUM(INDIRECT(ADDRESS(savings_min_row, COLUMN()) &amp;":" &amp; ADDRESS(savings_max_row, COLUMN())))</f>
        <v>0</v>
      </c>
      <c r="AO65" s="20" cm="1">
        <f t="array" aca="1" ref="AO65" ca="1">SUM(INDIRECT(ADDRESS(savings_min_row, COLUMN()) &amp;":" &amp; ADDRESS(savings_max_row, COLUMN())))</f>
        <v>0</v>
      </c>
      <c r="AP65" s="20" cm="1">
        <f t="array" aca="1" ref="AP65" ca="1">SUM(INDIRECT(ADDRESS(savings_min_row, COLUMN()) &amp;":" &amp; ADDRESS(savings_max_row, COLUMN())))</f>
        <v>0</v>
      </c>
      <c r="AQ65" s="20" cm="1">
        <f t="array" aca="1" ref="AQ65" ca="1">SUM(INDIRECT(ADDRESS(savings_min_row, COLUMN()) &amp;":" &amp; ADDRESS(savings_max_row, COLUMN())))</f>
        <v>0</v>
      </c>
      <c r="AR65" s="20" cm="1">
        <f t="array" aca="1" ref="AR65" ca="1">SUM(INDIRECT(ADDRESS(savings_min_row, COLUMN()) &amp;":" &amp; ADDRESS(savings_max_row, COLUMN())))</f>
        <v>0</v>
      </c>
      <c r="AS65" s="20" cm="1">
        <f t="array" aca="1" ref="AS65" ca="1">SUM(INDIRECT(ADDRESS(savings_min_row, COLUMN()) &amp;":" &amp; ADDRESS(savings_max_row, COLUMN())))</f>
        <v>0</v>
      </c>
      <c r="AU65" s="20" cm="1">
        <f t="array" aca="1" ref="AU65" ca="1">SUM(INDIRECT(ADDRESS(savings_min_row, COLUMN()) &amp;":" &amp; ADDRESS(savings_max_row, COLUMN())))</f>
        <v>0</v>
      </c>
      <c r="AV65" s="20" cm="1">
        <f t="array" aca="1" ref="AV65" ca="1">SUM(INDIRECT(ADDRESS(savings_min_row, COLUMN()) &amp;":" &amp; ADDRESS(savings_max_row, COLUMN())))</f>
        <v>0</v>
      </c>
      <c r="AW65" s="20" cm="1">
        <f t="array" aca="1" ref="AW65" ca="1">SUM(INDIRECT(ADDRESS(savings_min_row, COLUMN()) &amp;":" &amp; ADDRESS(savings_max_row, COLUMN())))</f>
        <v>0</v>
      </c>
      <c r="AX65" s="20" cm="1">
        <f t="array" aca="1" ref="AX65" ca="1">SUM(INDIRECT(ADDRESS(savings_min_row, COLUMN()) &amp;":" &amp; ADDRESS(savings_max_row, COLUMN())))</f>
        <v>0</v>
      </c>
      <c r="AY65" s="20" cm="1">
        <f t="array" aca="1" ref="AY65" ca="1">SUM(INDIRECT(ADDRESS(savings_min_row, COLUMN()) &amp;":" &amp; ADDRESS(savings_max_row, COLUMN())))</f>
        <v>0</v>
      </c>
      <c r="AZ65" s="20" cm="1">
        <f t="array" aca="1" ref="AZ65" ca="1">SUM(INDIRECT(ADDRESS(savings_min_row, COLUMN()) &amp;":" &amp; ADDRESS(savings_max_row, COLUMN())))</f>
        <v>0</v>
      </c>
      <c r="BA65" s="20" cm="1">
        <f t="array" aca="1" ref="BA65" ca="1">SUM(INDIRECT(ADDRESS(savings_min_row, COLUMN()) &amp;":" &amp; ADDRESS(savings_max_row, COLUMN())))</f>
        <v>0</v>
      </c>
      <c r="BB65" s="20" cm="1">
        <f t="array" aca="1" ref="BB65" ca="1">SUM(INDIRECT(ADDRESS(savings_min_row, COLUMN()) &amp;":" &amp; ADDRESS(savings_max_row, COLUMN())))</f>
        <v>0</v>
      </c>
      <c r="BC65" s="20" cm="1">
        <f t="array" aca="1" ref="BC65" ca="1">SUM(INDIRECT(ADDRESS(savings_min_row, COLUMN()) &amp;":" &amp; ADDRESS(savings_max_row, COLUMN())))</f>
        <v>0</v>
      </c>
      <c r="BD65" s="20" cm="1">
        <f t="array" aca="1" ref="BD65" ca="1">SUM(INDIRECT(ADDRESS(savings_min_row, COLUMN()) &amp;":" &amp; ADDRESS(savings_max_row, COLUMN())))</f>
        <v>0</v>
      </c>
      <c r="BE65" s="20" cm="1">
        <f t="array" aca="1" ref="BE65" ca="1">SUM(INDIRECT(ADDRESS(savings_min_row, COLUMN()) &amp;":" &amp; ADDRESS(savings_max_row, COLUMN())))</f>
        <v>0</v>
      </c>
      <c r="BF65" s="20" cm="1">
        <f t="array" aca="1" ref="BF65" ca="1">SUM(INDIRECT(ADDRESS(savings_min_row, COLUMN()) &amp;":" &amp; ADDRESS(savings_max_row, COLUMN())))</f>
        <v>0</v>
      </c>
      <c r="BG65" s="20" cm="1">
        <f t="array" aca="1" ref="BG65" ca="1">SUM(INDIRECT(ADDRESS(savings_min_row, COLUMN()) &amp;":" &amp; ADDRESS(savings_max_row, COLUMN())))</f>
        <v>0</v>
      </c>
      <c r="BI65" s="20" cm="1">
        <f t="array" aca="1" ref="BI65" ca="1">SUM(INDIRECT(ADDRESS(savings_min_row, COLUMN()) &amp;":" &amp; ADDRESS(savings_max_row, COLUMN())))</f>
        <v>0</v>
      </c>
      <c r="BJ65" s="20" cm="1">
        <f t="array" aca="1" ref="BJ65" ca="1">SUM(INDIRECT(ADDRESS(savings_min_row, COLUMN()) &amp;":" &amp; ADDRESS(savings_max_row, COLUMN())))</f>
        <v>0</v>
      </c>
      <c r="BK65" s="20" cm="1">
        <f t="array" aca="1" ref="BK65" ca="1">SUM(INDIRECT(ADDRESS(savings_min_row, COLUMN()) &amp;":" &amp; ADDRESS(savings_max_row, COLUMN())))</f>
        <v>0</v>
      </c>
      <c r="BL65" s="20" cm="1">
        <f t="array" aca="1" ref="BL65" ca="1">SUM(INDIRECT(ADDRESS(savings_min_row, COLUMN()) &amp;":" &amp; ADDRESS(savings_max_row, COLUMN())))</f>
        <v>0</v>
      </c>
      <c r="BM65" s="20" cm="1">
        <f t="array" aca="1" ref="BM65" ca="1">SUM(INDIRECT(ADDRESS(savings_min_row, COLUMN()) &amp;":" &amp; ADDRESS(savings_max_row, COLUMN())))</f>
        <v>0</v>
      </c>
      <c r="BN65" s="20" cm="1">
        <f t="array" aca="1" ref="BN65" ca="1">SUM(INDIRECT(ADDRESS(savings_min_row, COLUMN()) &amp;":" &amp; ADDRESS(savings_max_row, COLUMN())))</f>
        <v>0</v>
      </c>
      <c r="BO65" s="20" cm="1">
        <f t="array" aca="1" ref="BO65" ca="1">SUM(INDIRECT(ADDRESS(savings_min_row, COLUMN()) &amp;":" &amp; ADDRESS(savings_max_row, COLUMN())))</f>
        <v>0</v>
      </c>
      <c r="BP65" s="20" cm="1">
        <f t="array" aca="1" ref="BP65" ca="1">SUM(INDIRECT(ADDRESS(savings_min_row, COLUMN()) &amp;":" &amp; ADDRESS(savings_max_row, COLUMN())))</f>
        <v>0</v>
      </c>
      <c r="BQ65" s="20" cm="1">
        <f t="array" aca="1" ref="BQ65" ca="1">SUM(INDIRECT(ADDRESS(savings_min_row, COLUMN()) &amp;":" &amp; ADDRESS(savings_max_row, COLUMN())))</f>
        <v>0</v>
      </c>
      <c r="BR65" s="20" cm="1">
        <f t="array" aca="1" ref="BR65" ca="1">SUM(INDIRECT(ADDRESS(savings_min_row, COLUMN()) &amp;":" &amp; ADDRESS(savings_max_row, COLUMN())))</f>
        <v>0</v>
      </c>
      <c r="BS65" s="20" cm="1">
        <f t="array" aca="1" ref="BS65" ca="1">SUM(INDIRECT(ADDRESS(savings_min_row, COLUMN()) &amp;":" &amp; ADDRESS(savings_max_row, COLUMN())))</f>
        <v>0</v>
      </c>
      <c r="BT65" s="20" cm="1">
        <f t="array" aca="1" ref="BT65" ca="1">SUM(INDIRECT(ADDRESS(savings_min_row, COLUMN()) &amp;":" &amp; ADDRESS(savings_max_row, COLUMN())))</f>
        <v>0</v>
      </c>
      <c r="BU65" s="20" cm="1">
        <f t="array" aca="1" ref="BU65" ca="1">SUM(INDIRECT(ADDRESS(savings_min_row, COLUMN()) &amp;":" &amp; ADDRESS(savings_max_row, COLUMN())))</f>
        <v>0</v>
      </c>
      <c r="BW65" s="20" cm="1">
        <f t="array" aca="1" ref="BW65" ca="1">SUM(INDIRECT(ADDRESS(savings_min_row, COLUMN()) &amp;":" &amp; ADDRESS(savings_max_row, COLUMN())))</f>
        <v>0</v>
      </c>
      <c r="BX65" s="20" cm="1">
        <f t="array" aca="1" ref="BX65" ca="1">SUM(INDIRECT(ADDRESS(savings_min_row, COLUMN()) &amp;":" &amp; ADDRESS(savings_max_row, COLUMN())))</f>
        <v>0</v>
      </c>
      <c r="BY65" s="20" cm="1">
        <f t="array" aca="1" ref="BY65" ca="1">SUM(INDIRECT(ADDRESS(savings_min_row, COLUMN()) &amp;":" &amp; ADDRESS(savings_max_row, COLUMN())))</f>
        <v>0</v>
      </c>
      <c r="BZ65" s="20" cm="1">
        <f t="array" aca="1" ref="BZ65" ca="1">SUM(INDIRECT(ADDRESS(savings_min_row, COLUMN()) &amp;":" &amp; ADDRESS(savings_max_row, COLUMN())))</f>
        <v>0</v>
      </c>
      <c r="CA65" s="20" cm="1">
        <f t="array" aca="1" ref="CA65" ca="1">SUM(INDIRECT(ADDRESS(savings_min_row, COLUMN()) &amp;":" &amp; ADDRESS(savings_max_row, COLUMN())))</f>
        <v>0</v>
      </c>
      <c r="CB65" s="20" cm="1">
        <f t="array" aca="1" ref="CB65" ca="1">SUM(INDIRECT(ADDRESS(savings_min_row, COLUMN()) &amp;":" &amp; ADDRESS(savings_max_row, COLUMN())))</f>
        <v>0</v>
      </c>
      <c r="CC65" s="20" cm="1">
        <f t="array" aca="1" ref="CC65" ca="1">SUM(INDIRECT(ADDRESS(savings_min_row, COLUMN()) &amp;":" &amp; ADDRESS(savings_max_row, COLUMN())))</f>
        <v>0</v>
      </c>
      <c r="CD65" s="20" cm="1">
        <f t="array" aca="1" ref="CD65" ca="1">SUM(INDIRECT(ADDRESS(savings_min_row, COLUMN()) &amp;":" &amp; ADDRESS(savings_max_row, COLUMN())))</f>
        <v>0</v>
      </c>
      <c r="CE65" s="20" cm="1">
        <f t="array" aca="1" ref="CE65" ca="1">SUM(INDIRECT(ADDRESS(savings_min_row, COLUMN()) &amp;":" &amp; ADDRESS(savings_max_row, COLUMN())))</f>
        <v>0</v>
      </c>
      <c r="CF65" s="20" cm="1">
        <f t="array" aca="1" ref="CF65" ca="1">SUM(INDIRECT(ADDRESS(savings_min_row, COLUMN()) &amp;":" &amp; ADDRESS(savings_max_row, COLUMN())))</f>
        <v>0</v>
      </c>
      <c r="CG65" s="20" cm="1">
        <f t="array" aca="1" ref="CG65" ca="1">SUM(INDIRECT(ADDRESS(savings_min_row, COLUMN()) &amp;":" &amp; ADDRESS(savings_max_row, COLUMN())))</f>
        <v>0</v>
      </c>
      <c r="CH65" s="20" cm="1">
        <f t="array" aca="1" ref="CH65" ca="1">SUM(INDIRECT(ADDRESS(savings_min_row, COLUMN()) &amp;":" &amp; ADDRESS(savings_max_row, COLUMN())))</f>
        <v>0</v>
      </c>
      <c r="CI65" s="20" cm="1">
        <f t="array" aca="1" ref="CI65" ca="1">SUM(INDIRECT(ADDRESS(savings_min_row, COLUMN()) &amp;":" &amp; ADDRESS(savings_max_row, COLUMN())))</f>
        <v>0</v>
      </c>
      <c r="CK65" s="20" cm="1">
        <f t="array" aca="1" ref="CK65" ca="1">SUM(INDIRECT(ADDRESS(savings_min_row, COLUMN()) &amp;":" &amp; ADDRESS(savings_max_row, COLUMN())))</f>
        <v>0</v>
      </c>
      <c r="CL65" s="20" cm="1">
        <f t="array" aca="1" ref="CL65" ca="1">SUM(INDIRECT(ADDRESS(savings_min_row, COLUMN()) &amp;":" &amp; ADDRESS(savings_max_row, COLUMN())))</f>
        <v>0</v>
      </c>
      <c r="CM65" s="20" cm="1">
        <f t="array" aca="1" ref="CM65" ca="1">SUM(INDIRECT(ADDRESS(savings_min_row, COLUMN()) &amp;":" &amp; ADDRESS(savings_max_row, COLUMN())))</f>
        <v>0</v>
      </c>
      <c r="CN65" s="20" cm="1">
        <f t="array" aca="1" ref="CN65" ca="1">SUM(INDIRECT(ADDRESS(savings_min_row, COLUMN()) &amp;":" &amp; ADDRESS(savings_max_row, COLUMN())))</f>
        <v>0</v>
      </c>
      <c r="CO65" s="20" cm="1">
        <f t="array" aca="1" ref="CO65" ca="1">SUM(INDIRECT(ADDRESS(savings_min_row, COLUMN()) &amp;":" &amp; ADDRESS(savings_max_row, COLUMN())))</f>
        <v>0</v>
      </c>
      <c r="CP65" s="20" cm="1">
        <f t="array" aca="1" ref="CP65" ca="1">SUM(INDIRECT(ADDRESS(savings_min_row, COLUMN()) &amp;":" &amp; ADDRESS(savings_max_row, COLUMN())))</f>
        <v>0</v>
      </c>
      <c r="CQ65" s="20" cm="1">
        <f t="array" aca="1" ref="CQ65" ca="1">SUM(INDIRECT(ADDRESS(savings_min_row, COLUMN()) &amp;":" &amp; ADDRESS(savings_max_row, COLUMN())))</f>
        <v>0</v>
      </c>
      <c r="CR65" s="20" cm="1">
        <f t="array" aca="1" ref="CR65" ca="1">SUM(INDIRECT(ADDRESS(savings_min_row, COLUMN()) &amp;":" &amp; ADDRESS(savings_max_row, COLUMN())))</f>
        <v>0</v>
      </c>
      <c r="CS65" s="20" cm="1">
        <f t="array" aca="1" ref="CS65" ca="1">SUM(INDIRECT(ADDRESS(savings_min_row, COLUMN()) &amp;":" &amp; ADDRESS(savings_max_row, COLUMN())))</f>
        <v>0</v>
      </c>
      <c r="CT65" s="20" cm="1">
        <f t="array" aca="1" ref="CT65" ca="1">SUM(INDIRECT(ADDRESS(savings_min_row, COLUMN()) &amp;":" &amp; ADDRESS(savings_max_row, COLUMN())))</f>
        <v>0</v>
      </c>
      <c r="CU65" s="20" cm="1">
        <f t="array" aca="1" ref="CU65" ca="1">SUM(INDIRECT(ADDRESS(savings_min_row, COLUMN()) &amp;":" &amp; ADDRESS(savings_max_row, COLUMN())))</f>
        <v>0</v>
      </c>
      <c r="CV65" s="20" cm="1">
        <f t="array" aca="1" ref="CV65" ca="1">SUM(INDIRECT(ADDRESS(savings_min_row, COLUMN()) &amp;":" &amp; ADDRESS(savings_max_row, COLUMN())))</f>
        <v>0</v>
      </c>
      <c r="CW65" s="20" cm="1">
        <f t="array" aca="1" ref="CW65" ca="1">SUM(INDIRECT(ADDRESS(savings_min_row, COLUMN()) &amp;":" &amp; ADDRESS(savings_max_row, COLUMN())))</f>
        <v>0</v>
      </c>
      <c r="CY65" s="20" cm="1">
        <f t="array" aca="1" ref="CY65" ca="1">SUM(INDIRECT(ADDRESS(savings_min_row, COLUMN()) &amp;":" &amp; ADDRESS(savings_max_row, COLUMN())))</f>
        <v>0</v>
      </c>
      <c r="CZ65" s="20" cm="1">
        <f t="array" aca="1" ref="CZ65" ca="1">SUM(INDIRECT(ADDRESS(savings_min_row, COLUMN()) &amp;":" &amp; ADDRESS(savings_max_row, COLUMN())))</f>
        <v>0</v>
      </c>
      <c r="DA65" s="20" cm="1">
        <f t="array" aca="1" ref="DA65" ca="1">SUM(INDIRECT(ADDRESS(savings_min_row, COLUMN()) &amp;":" &amp; ADDRESS(savings_max_row, COLUMN())))</f>
        <v>0</v>
      </c>
      <c r="DB65" s="20" cm="1">
        <f t="array" aca="1" ref="DB65" ca="1">SUM(INDIRECT(ADDRESS(savings_min_row, COLUMN()) &amp;":" &amp; ADDRESS(savings_max_row, COLUMN())))</f>
        <v>0</v>
      </c>
      <c r="DC65" s="20" cm="1">
        <f t="array" aca="1" ref="DC65" ca="1">SUM(INDIRECT(ADDRESS(savings_min_row, COLUMN()) &amp;":" &amp; ADDRESS(savings_max_row, COLUMN())))</f>
        <v>0</v>
      </c>
      <c r="DD65" s="20" cm="1">
        <f t="array" aca="1" ref="DD65" ca="1">SUM(INDIRECT(ADDRESS(savings_min_row, COLUMN()) &amp;":" &amp; ADDRESS(savings_max_row, COLUMN())))</f>
        <v>0</v>
      </c>
      <c r="DE65" s="20" cm="1">
        <f t="array" aca="1" ref="DE65" ca="1">SUM(INDIRECT(ADDRESS(savings_min_row, COLUMN()) &amp;":" &amp; ADDRESS(savings_max_row, COLUMN())))</f>
        <v>0</v>
      </c>
      <c r="DF65" s="20" cm="1">
        <f t="array" aca="1" ref="DF65" ca="1">SUM(INDIRECT(ADDRESS(savings_min_row, COLUMN()) &amp;":" &amp; ADDRESS(savings_max_row, COLUMN())))</f>
        <v>0</v>
      </c>
      <c r="DG65" s="20" cm="1">
        <f t="array" aca="1" ref="DG65" ca="1">SUM(INDIRECT(ADDRESS(savings_min_row, COLUMN()) &amp;":" &amp; ADDRESS(savings_max_row, COLUMN())))</f>
        <v>0</v>
      </c>
      <c r="DH65" s="20" cm="1">
        <f t="array" aca="1" ref="DH65" ca="1">SUM(INDIRECT(ADDRESS(savings_min_row, COLUMN()) &amp;":" &amp; ADDRESS(savings_max_row, COLUMN())))</f>
        <v>0</v>
      </c>
      <c r="DI65" s="20" cm="1">
        <f t="array" aca="1" ref="DI65" ca="1">SUM(INDIRECT(ADDRESS(savings_min_row, COLUMN()) &amp;":" &amp; ADDRESS(savings_max_row, COLUMN())))</f>
        <v>0</v>
      </c>
      <c r="DJ65" s="20" cm="1">
        <f t="array" aca="1" ref="DJ65" ca="1">SUM(INDIRECT(ADDRESS(savings_min_row, COLUMN()) &amp;":" &amp; ADDRESS(savings_max_row, COLUMN())))</f>
        <v>0</v>
      </c>
      <c r="DK65" s="20" cm="1">
        <f t="array" aca="1" ref="DK65" ca="1">SUM(INDIRECT(ADDRESS(savings_min_row, COLUMN()) &amp;":" &amp; ADDRESS(savings_max_row, COLUMN())))</f>
        <v>0</v>
      </c>
      <c r="DM65" s="20" cm="1">
        <f t="array" aca="1" ref="DM65" ca="1">SUM(INDIRECT(ADDRESS(savings_min_row, COLUMN()) &amp;":" &amp; ADDRESS(savings_max_row, COLUMN())))</f>
        <v>0</v>
      </c>
      <c r="DN65" s="20" cm="1">
        <f t="array" aca="1" ref="DN65" ca="1">SUM(INDIRECT(ADDRESS(savings_min_row, COLUMN()) &amp;":" &amp; ADDRESS(savings_max_row, COLUMN())))</f>
        <v>0</v>
      </c>
      <c r="DO65" s="20" cm="1">
        <f t="array" aca="1" ref="DO65" ca="1">SUM(INDIRECT(ADDRESS(savings_min_row, COLUMN()) &amp;":" &amp; ADDRESS(savings_max_row, COLUMN())))</f>
        <v>0</v>
      </c>
      <c r="DP65" s="20" cm="1">
        <f t="array" aca="1" ref="DP65" ca="1">SUM(INDIRECT(ADDRESS(savings_min_row, COLUMN()) &amp;":" &amp; ADDRESS(savings_max_row, COLUMN())))</f>
        <v>0</v>
      </c>
      <c r="DQ65" s="20" cm="1">
        <f t="array" aca="1" ref="DQ65" ca="1">SUM(INDIRECT(ADDRESS(savings_min_row, COLUMN()) &amp;":" &amp; ADDRESS(savings_max_row, COLUMN())))</f>
        <v>0</v>
      </c>
      <c r="DR65" s="20" cm="1">
        <f t="array" aca="1" ref="DR65" ca="1">SUM(INDIRECT(ADDRESS(savings_min_row, COLUMN()) &amp;":" &amp; ADDRESS(savings_max_row, COLUMN())))</f>
        <v>0</v>
      </c>
      <c r="DS65" s="20" cm="1">
        <f t="array" aca="1" ref="DS65" ca="1">SUM(INDIRECT(ADDRESS(savings_min_row, COLUMN()) &amp;":" &amp; ADDRESS(savings_max_row, COLUMN())))</f>
        <v>0</v>
      </c>
      <c r="DT65" s="20" cm="1">
        <f t="array" aca="1" ref="DT65" ca="1">SUM(INDIRECT(ADDRESS(savings_min_row, COLUMN()) &amp;":" &amp; ADDRESS(savings_max_row, COLUMN())))</f>
        <v>0</v>
      </c>
      <c r="DU65" s="20" cm="1">
        <f t="array" aca="1" ref="DU65" ca="1">SUM(INDIRECT(ADDRESS(savings_min_row, COLUMN()) &amp;":" &amp; ADDRESS(savings_max_row, COLUMN())))</f>
        <v>0</v>
      </c>
      <c r="DV65" s="20" cm="1">
        <f t="array" aca="1" ref="DV65" ca="1">SUM(INDIRECT(ADDRESS(savings_min_row, COLUMN()) &amp;":" &amp; ADDRESS(savings_max_row, COLUMN())))</f>
        <v>0</v>
      </c>
      <c r="DW65" s="20" cm="1">
        <f t="array" aca="1" ref="DW65" ca="1">SUM(INDIRECT(ADDRESS(savings_min_row, COLUMN()) &amp;":" &amp; ADDRESS(savings_max_row, COLUMN())))</f>
        <v>0</v>
      </c>
      <c r="DX65" s="20" cm="1">
        <f t="array" aca="1" ref="DX65" ca="1">SUM(INDIRECT(ADDRESS(savings_min_row, COLUMN()) &amp;":" &amp; ADDRESS(savings_max_row, COLUMN())))</f>
        <v>0</v>
      </c>
      <c r="DY65" s="20" cm="1">
        <f t="array" aca="1" ref="DY65" ca="1">SUM(INDIRECT(ADDRESS(savings_min_row, COLUMN()) &amp;":" &amp; ADDRESS(savings_max_row, COLUMN())))</f>
        <v>0</v>
      </c>
      <c r="EA65" s="20" cm="1">
        <f t="array" aca="1" ref="EA65" ca="1">SUM(INDIRECT(ADDRESS(savings_min_row, COLUMN()) &amp;":" &amp; ADDRESS(savings_max_row, COLUMN())))</f>
        <v>0</v>
      </c>
      <c r="EB65" s="20" cm="1">
        <f t="array" aca="1" ref="EB65" ca="1">SUM(INDIRECT(ADDRESS(savings_min_row, COLUMN()) &amp;":" &amp; ADDRESS(savings_max_row, COLUMN())))</f>
        <v>0</v>
      </c>
      <c r="EC65" s="20" cm="1">
        <f t="array" aca="1" ref="EC65" ca="1">SUM(INDIRECT(ADDRESS(savings_min_row, COLUMN()) &amp;":" &amp; ADDRESS(savings_max_row, COLUMN())))</f>
        <v>0</v>
      </c>
      <c r="ED65" s="20" cm="1">
        <f t="array" aca="1" ref="ED65" ca="1">SUM(INDIRECT(ADDRESS(savings_min_row, COLUMN()) &amp;":" &amp; ADDRESS(savings_max_row, COLUMN())))</f>
        <v>0</v>
      </c>
      <c r="EE65" s="20" cm="1">
        <f t="array" aca="1" ref="EE65" ca="1">SUM(INDIRECT(ADDRESS(savings_min_row, COLUMN()) &amp;":" &amp; ADDRESS(savings_max_row, COLUMN())))</f>
        <v>0</v>
      </c>
      <c r="EF65" s="20" cm="1">
        <f t="array" aca="1" ref="EF65" ca="1">SUM(INDIRECT(ADDRESS(savings_min_row, COLUMN()) &amp;":" &amp; ADDRESS(savings_max_row, COLUMN())))</f>
        <v>0</v>
      </c>
      <c r="EG65" s="20" cm="1">
        <f t="array" aca="1" ref="EG65" ca="1">SUM(INDIRECT(ADDRESS(savings_min_row, COLUMN()) &amp;":" &amp; ADDRESS(savings_max_row, COLUMN())))</f>
        <v>0</v>
      </c>
      <c r="EH65" s="20" cm="1">
        <f t="array" aca="1" ref="EH65" ca="1">SUM(INDIRECT(ADDRESS(savings_min_row, COLUMN()) &amp;":" &amp; ADDRESS(savings_max_row, COLUMN())))</f>
        <v>0</v>
      </c>
      <c r="EI65" s="20" cm="1">
        <f t="array" aca="1" ref="EI65" ca="1">SUM(INDIRECT(ADDRESS(savings_min_row, COLUMN()) &amp;":" &amp; ADDRESS(savings_max_row, COLUMN())))</f>
        <v>0</v>
      </c>
      <c r="EJ65" s="20" cm="1">
        <f t="array" aca="1" ref="EJ65" ca="1">SUM(INDIRECT(ADDRESS(savings_min_row, COLUMN()) &amp;":" &amp; ADDRESS(savings_max_row, COLUMN())))</f>
        <v>0</v>
      </c>
      <c r="EK65" s="20" cm="1">
        <f t="array" aca="1" ref="EK65" ca="1">SUM(INDIRECT(ADDRESS(savings_min_row, COLUMN()) &amp;":" &amp; ADDRESS(savings_max_row, COLUMN())))</f>
        <v>0</v>
      </c>
      <c r="EL65" s="20" cm="1">
        <f t="array" aca="1" ref="EL65" ca="1">SUM(INDIRECT(ADDRESS(savings_min_row, COLUMN()) &amp;":" &amp; ADDRESS(savings_max_row, COLUMN())))</f>
        <v>0</v>
      </c>
      <c r="EM65" s="20" cm="1">
        <f t="array" aca="1" ref="EM65" ca="1">SUM(INDIRECT(ADDRESS(savings_min_row, COLUMN()) &amp;":" &amp; ADDRESS(savings_max_row, COLUMN())))</f>
        <v>0</v>
      </c>
      <c r="EO65" s="20" cm="1">
        <f t="array" aca="1" ref="EO65" ca="1">SUM(INDIRECT(ADDRESS(savings_min_row, COLUMN()) &amp;":" &amp; ADDRESS(savings_max_row, COLUMN())))</f>
        <v>0</v>
      </c>
      <c r="EP65" s="20" cm="1">
        <f t="array" aca="1" ref="EP65" ca="1">SUM(INDIRECT(ADDRESS(savings_min_row, COLUMN()) &amp;":" &amp; ADDRESS(savings_max_row, COLUMN())))</f>
        <v>0</v>
      </c>
      <c r="EQ65" s="20" cm="1">
        <f t="array" aca="1" ref="EQ65" ca="1">SUM(INDIRECT(ADDRESS(savings_min_row, COLUMN()) &amp;":" &amp; ADDRESS(savings_max_row, COLUMN())))</f>
        <v>0</v>
      </c>
      <c r="ER65" s="20" cm="1">
        <f t="array" aca="1" ref="ER65" ca="1">SUM(INDIRECT(ADDRESS(savings_min_row, COLUMN()) &amp;":" &amp; ADDRESS(savings_max_row, COLUMN())))</f>
        <v>0</v>
      </c>
      <c r="ES65" s="20" cm="1">
        <f t="array" aca="1" ref="ES65" ca="1">SUM(INDIRECT(ADDRESS(savings_min_row, COLUMN()) &amp;":" &amp; ADDRESS(savings_max_row, COLUMN())))</f>
        <v>0</v>
      </c>
      <c r="ET65" s="20" cm="1">
        <f t="array" aca="1" ref="ET65" ca="1">SUM(INDIRECT(ADDRESS(savings_min_row, COLUMN()) &amp;":" &amp; ADDRESS(savings_max_row, COLUMN())))</f>
        <v>0</v>
      </c>
      <c r="EU65" s="20" cm="1">
        <f t="array" aca="1" ref="EU65" ca="1">SUM(INDIRECT(ADDRESS(savings_min_row, COLUMN()) &amp;":" &amp; ADDRESS(savings_max_row, COLUMN())))</f>
        <v>0</v>
      </c>
      <c r="EV65" s="20" cm="1">
        <f t="array" aca="1" ref="EV65" ca="1">SUM(INDIRECT(ADDRESS(savings_min_row, COLUMN()) &amp;":" &amp; ADDRESS(savings_max_row, COLUMN())))</f>
        <v>0</v>
      </c>
      <c r="EW65" s="20" cm="1">
        <f t="array" aca="1" ref="EW65" ca="1">SUM(INDIRECT(ADDRESS(savings_min_row, COLUMN()) &amp;":" &amp; ADDRESS(savings_max_row, COLUMN())))</f>
        <v>0</v>
      </c>
      <c r="EX65" s="20" cm="1">
        <f t="array" aca="1" ref="EX65" ca="1">SUM(INDIRECT(ADDRESS(savings_min_row, COLUMN()) &amp;":" &amp; ADDRESS(savings_max_row, COLUMN())))</f>
        <v>0</v>
      </c>
      <c r="EY65" s="20" cm="1">
        <f t="array" aca="1" ref="EY65" ca="1">SUM(INDIRECT(ADDRESS(savings_min_row, COLUMN()) &amp;":" &amp; ADDRESS(savings_max_row, COLUMN())))</f>
        <v>0</v>
      </c>
      <c r="EZ65" s="20" cm="1">
        <f t="array" aca="1" ref="EZ65" ca="1">SUM(INDIRECT(ADDRESS(savings_min_row, COLUMN()) &amp;":" &amp; ADDRESS(savings_max_row, COLUMN())))</f>
        <v>0</v>
      </c>
      <c r="FA65" s="20" cm="1">
        <f t="array" aca="1" ref="FA65" ca="1">SUM(INDIRECT(ADDRESS(savings_min_row, COLUMN()) &amp;":" &amp; ADDRESS(savings_max_row, COLUMN())))</f>
        <v>0</v>
      </c>
    </row>
  </sheetData>
  <mergeCells count="11">
    <mergeCell ref="E6:Q6"/>
    <mergeCell ref="BW6:CI6"/>
    <mergeCell ref="S6:AE6"/>
    <mergeCell ref="AG6:AS6"/>
    <mergeCell ref="AU6:BG6"/>
    <mergeCell ref="BI6:BU6"/>
    <mergeCell ref="CK6:CW6"/>
    <mergeCell ref="CY6:DK6"/>
    <mergeCell ref="DM6:DY6"/>
    <mergeCell ref="EA6:EM6"/>
    <mergeCell ref="EO6:FA6"/>
  </mergeCells>
  <conditionalFormatting sqref="C11:C13">
    <cfRule type="expression" dxfId="8" priority="9" stopIfTrue="1">
      <formula>ROW(C11)&lt;=income_max_row</formula>
    </cfRule>
  </conditionalFormatting>
  <conditionalFormatting sqref="C30:C45 E30:Q45 S30:AE45 AG30:AS45 AU30:BG45 BI30:BU45 BW30:CI45 CK30:CW45 CY30:DK45 DM30:DY45 EA30:EM45 EO30:FA45">
    <cfRule type="expression" dxfId="7" priority="7">
      <formula>ROW(C30)&lt;=expenses_max_row</formula>
    </cfRule>
  </conditionalFormatting>
  <conditionalFormatting sqref="C49:C64 E49:Q64 S49:AE64 AG49:AS64 AU49:BG64 BI49:BU64 BW49:CI64 CK49:CW64 CY49:DK64 DM49:DY64 EA49:EM64 EO49:FA64">
    <cfRule type="expression" dxfId="6" priority="5" stopIfTrue="1">
      <formula>ROW(C49)&lt;=savings_max_row</formula>
    </cfRule>
  </conditionalFormatting>
  <conditionalFormatting sqref="E7:Q8 S7:AE8 AG7:AS8 AU7:BG8 BI7:BU8 BW7:CI8 CK7:CW8 CY7:DK8 DM7:DY8 EA7:EM8 EO7:FA8">
    <cfRule type="expression" dxfId="5" priority="1" stopIfTrue="1">
      <formula>AND(E$27=0, E$46=0, E$65=0)</formula>
    </cfRule>
    <cfRule type="expression" dxfId="4" priority="2" stopIfTrue="1">
      <formula>E$8=0</formula>
    </cfRule>
    <cfRule type="expression" dxfId="3" priority="3">
      <formula>E$8&lt;0</formula>
    </cfRule>
  </conditionalFormatting>
  <conditionalFormatting sqref="E11:Q27 S11:AE27 AG11:AS27 AU11:BG27 BI11:BU27 BW11:CI27 CK11:CW27 CY11:DK27 DM11:DY27 EA11:EM27 EO11:FA27">
    <cfRule type="expression" dxfId="2" priority="8" stopIfTrue="1">
      <formula>ROW(E11)&lt;=income_max_row</formula>
    </cfRule>
  </conditionalFormatting>
  <conditionalFormatting sqref="E46:Q46 S46:AE46 AG46:AS46 AU46:BG46 BI46:BU46 BW46:CI46 CK46:CW46 CY46:DK46 DM46:DY46 EA46:EM46 EO46:FA46">
    <cfRule type="expression" dxfId="1" priority="6">
      <formula>ROW(E46)&lt;=income_max_row</formula>
    </cfRule>
  </conditionalFormatting>
  <conditionalFormatting sqref="E65:Q65 S65:AE65 AG65:AS65 AU65:BG65 BI65:BU65 BW65:CI65 CK65:CW65 CY65:DK65 DM65:DY65 EA65:EM65 EO65:FA65">
    <cfRule type="expression" dxfId="0" priority="4">
      <formula>ROW(E65)&lt;=income_max_row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0748-3D02-A84F-8406-F62BFD355386}">
  <dimension ref="B1:B3"/>
  <sheetViews>
    <sheetView showGridLines="0" workbookViewId="0">
      <selection activeCell="B3" sqref="B3"/>
    </sheetView>
  </sheetViews>
  <sheetFormatPr baseColWidth="10" defaultRowHeight="16" x14ac:dyDescent="0.2"/>
  <sheetData>
    <row r="1" spans="2:2" s="7" customFormat="1" ht="10" customHeight="1" x14ac:dyDescent="0.2"/>
    <row r="2" spans="2:2" s="7" customFormat="1" ht="29" x14ac:dyDescent="0.2">
      <c r="B2" s="8" t="s">
        <v>5</v>
      </c>
    </row>
    <row r="3" spans="2:2" s="7" customFormat="1" ht="10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499B-81C4-AD4A-86C1-2D35B533F3D3}">
  <sheetPr>
    <tabColor theme="9" tint="0.39997558519241921"/>
  </sheetPr>
  <dimension ref="B1:B3"/>
  <sheetViews>
    <sheetView showGridLines="0" workbookViewId="0">
      <selection activeCell="B3" sqref="B3"/>
    </sheetView>
  </sheetViews>
  <sheetFormatPr baseColWidth="10" defaultRowHeight="16" x14ac:dyDescent="0.2"/>
  <sheetData>
    <row r="1" spans="2:2" s="7" customFormat="1" ht="10" customHeight="1" x14ac:dyDescent="0.2"/>
    <row r="2" spans="2:2" s="7" customFormat="1" ht="29" x14ac:dyDescent="0.2">
      <c r="B2" s="8" t="s">
        <v>6</v>
      </c>
    </row>
    <row r="3" spans="2:2" s="7" customFormat="1" ht="10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6F09-8816-8F46-A13A-1076882D89A3}">
  <sheetPr>
    <tabColor rgb="FF002060"/>
  </sheetPr>
  <dimension ref="B1:B3"/>
  <sheetViews>
    <sheetView showGridLines="0" workbookViewId="0">
      <selection activeCell="B3" sqref="B3"/>
    </sheetView>
  </sheetViews>
  <sheetFormatPr baseColWidth="10" defaultRowHeight="16" x14ac:dyDescent="0.2"/>
  <sheetData>
    <row r="1" spans="2:2" s="7" customFormat="1" ht="10" customHeight="1" x14ac:dyDescent="0.2"/>
    <row r="2" spans="2:2" s="7" customFormat="1" ht="29" x14ac:dyDescent="0.2">
      <c r="B2" s="8" t="s">
        <v>7</v>
      </c>
    </row>
    <row r="3" spans="2:2" s="7" customFormat="1" ht="10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3916-7306-2E40-AE1C-70EDEE48F8E7}">
  <sheetPr>
    <tabColor rgb="FF002060"/>
  </sheetPr>
  <dimension ref="B1:B3"/>
  <sheetViews>
    <sheetView showGridLines="0" workbookViewId="0">
      <selection activeCell="B3" sqref="B3"/>
    </sheetView>
  </sheetViews>
  <sheetFormatPr baseColWidth="10" defaultRowHeight="16" x14ac:dyDescent="0.2"/>
  <sheetData>
    <row r="1" spans="2:2" s="7" customFormat="1" ht="10" customHeight="1" x14ac:dyDescent="0.2"/>
    <row r="2" spans="2:2" s="7" customFormat="1" ht="29" x14ac:dyDescent="0.2">
      <c r="B2" s="8" t="s">
        <v>8</v>
      </c>
    </row>
    <row r="3" spans="2:2" s="7" customFormat="1" ht="1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Settings</vt:lpstr>
      <vt:lpstr>Budget Planning</vt:lpstr>
      <vt:lpstr>Budget Tracking</vt:lpstr>
      <vt:lpstr>Budget Dashboard</vt:lpstr>
      <vt:lpstr>Calculations</vt:lpstr>
      <vt:lpstr>Dropdown Data</vt:lpstr>
      <vt:lpstr>income_total_row</vt:lpstr>
      <vt:lpstr>Starting_year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2025-10-02T17:38:08Z</dcterms:created>
  <dcterms:modified xsi:type="dcterms:W3CDTF">2025-10-03T17:34:25Z</dcterms:modified>
</cp:coreProperties>
</file>